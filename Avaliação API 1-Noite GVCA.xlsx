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FATEC\OneDrive\Documents\FATEC\Disciplinas\API\2025-2\"/>
    </mc:Choice>
  </mc:AlternateContent>
  <xr:revisionPtr revIDLastSave="0" documentId="8_{C0F9ECD2-FF4F-46D5-B381-8F4F1FF7CBAC}" xr6:coauthVersionLast="47" xr6:coauthVersionMax="47" xr10:uidLastSave="{00000000-0000-0000-0000-000000000000}"/>
  <bookViews>
    <workbookView xWindow="14292" yWindow="0" windowWidth="14616" windowHeight="15588" firstSheet="2" activeTab="2" xr2:uid="{00000000-000D-0000-FFFF-FFFF00000000}"/>
  </bookViews>
  <sheets>
    <sheet name="Critérios" sheetId="4" r:id="rId1"/>
    <sheet name="Equipes" sheetId="2" r:id="rId2"/>
    <sheet name="Alunos" sheetId="1" r:id="rId3"/>
    <sheet name="Configuração" sheetId="3" r:id="rId4"/>
  </sheets>
  <definedNames>
    <definedName name="_xlnm._FilterDatabase" localSheetId="2" hidden="1">Alunos!$A$2:$Z$52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5" i="2"/>
  <c r="H10" i="1"/>
  <c r="I10" i="1"/>
  <c r="P4" i="2"/>
  <c r="P10" i="1"/>
  <c r="Q10" i="1"/>
  <c r="W4" i="2"/>
  <c r="X10" i="1"/>
  <c r="Y10" i="1"/>
  <c r="H11" i="1"/>
  <c r="I11" i="1"/>
  <c r="P11" i="1"/>
  <c r="Q11" i="1"/>
  <c r="X11" i="1"/>
  <c r="Y11" i="1"/>
  <c r="H12" i="1"/>
  <c r="I12" i="1"/>
  <c r="P12" i="1"/>
  <c r="Q12" i="1"/>
  <c r="X12" i="1"/>
  <c r="Y12" i="1"/>
  <c r="H13" i="1"/>
  <c r="I13" i="1"/>
  <c r="P13" i="1"/>
  <c r="Q13" i="1"/>
  <c r="X13" i="1"/>
  <c r="Y13" i="1"/>
  <c r="H14" i="1"/>
  <c r="I14" i="1"/>
  <c r="P14" i="1"/>
  <c r="Q14" i="1"/>
  <c r="X14" i="1"/>
  <c r="Y14" i="1"/>
  <c r="H15" i="1"/>
  <c r="I15" i="1"/>
  <c r="P15" i="1"/>
  <c r="Q15" i="1"/>
  <c r="X15" i="1"/>
  <c r="Y15" i="1"/>
  <c r="H16" i="1"/>
  <c r="I16" i="1"/>
  <c r="P16" i="1"/>
  <c r="Q16" i="1"/>
  <c r="X16" i="1"/>
  <c r="Y16" i="1"/>
  <c r="I6" i="2"/>
  <c r="H17" i="1"/>
  <c r="I17" i="1"/>
  <c r="P17" i="1"/>
  <c r="Q17" i="1"/>
  <c r="X17" i="1"/>
  <c r="Y17" i="1"/>
  <c r="H18" i="1"/>
  <c r="I18" i="1"/>
  <c r="P18" i="1"/>
  <c r="Q18" i="1"/>
  <c r="X18" i="1"/>
  <c r="Y18" i="1"/>
  <c r="H19" i="1"/>
  <c r="I19" i="1"/>
  <c r="P19" i="1"/>
  <c r="Q19" i="1"/>
  <c r="X19" i="1"/>
  <c r="Y19" i="1"/>
  <c r="H20" i="1"/>
  <c r="I20" i="1"/>
  <c r="P20" i="1"/>
  <c r="Q20" i="1"/>
  <c r="X20" i="1"/>
  <c r="Y20" i="1"/>
  <c r="H21" i="1"/>
  <c r="I21" i="1"/>
  <c r="P21" i="1"/>
  <c r="Q21" i="1"/>
  <c r="X21" i="1"/>
  <c r="Y21" i="1"/>
  <c r="H22" i="1"/>
  <c r="I22" i="1"/>
  <c r="P22" i="1"/>
  <c r="Q22" i="1"/>
  <c r="X22" i="1"/>
  <c r="Y22" i="1"/>
  <c r="P23" i="1"/>
  <c r="Q23" i="1"/>
  <c r="X23" i="1"/>
  <c r="Y23" i="1"/>
  <c r="P24" i="1"/>
  <c r="Q24" i="1"/>
  <c r="X24" i="1"/>
  <c r="Y24" i="1"/>
  <c r="P25" i="1"/>
  <c r="Q25" i="1"/>
  <c r="X25" i="1"/>
  <c r="Y25" i="1"/>
  <c r="P26" i="1"/>
  <c r="Q26" i="1"/>
  <c r="X26" i="1"/>
  <c r="Y26" i="1"/>
  <c r="P27" i="1"/>
  <c r="Q27" i="1"/>
  <c r="X27" i="1"/>
  <c r="Y27" i="1"/>
  <c r="P28" i="1"/>
  <c r="Q28" i="1"/>
  <c r="X28" i="1"/>
  <c r="Y28" i="1"/>
  <c r="P29" i="1"/>
  <c r="Q29" i="1"/>
  <c r="X29" i="1"/>
  <c r="Y29" i="1"/>
  <c r="I8" i="2"/>
  <c r="H30" i="1"/>
  <c r="I30" i="1"/>
  <c r="P30" i="1"/>
  <c r="Q30" i="1"/>
  <c r="X30" i="1"/>
  <c r="Y30" i="1"/>
  <c r="H31" i="1"/>
  <c r="I31" i="1"/>
  <c r="P31" i="1"/>
  <c r="Q31" i="1"/>
  <c r="X31" i="1"/>
  <c r="Y31" i="1"/>
  <c r="H32" i="1"/>
  <c r="I32" i="1"/>
  <c r="P32" i="1"/>
  <c r="Q32" i="1"/>
  <c r="X32" i="1"/>
  <c r="Y32" i="1"/>
  <c r="H33" i="1"/>
  <c r="I33" i="1"/>
  <c r="P33" i="1"/>
  <c r="Q33" i="1"/>
  <c r="X33" i="1"/>
  <c r="Y33" i="1"/>
  <c r="H34" i="1"/>
  <c r="I34" i="1"/>
  <c r="P34" i="1"/>
  <c r="Q34" i="1"/>
  <c r="X34" i="1"/>
  <c r="Y34" i="1"/>
  <c r="H35" i="1"/>
  <c r="I35" i="1"/>
  <c r="P35" i="1"/>
  <c r="Q35" i="1"/>
  <c r="X35" i="1"/>
  <c r="Y35" i="1"/>
  <c r="H36" i="1"/>
  <c r="I36" i="1"/>
  <c r="P36" i="1"/>
  <c r="Q36" i="1"/>
  <c r="X36" i="1"/>
  <c r="Y36" i="1"/>
  <c r="Z13" i="1"/>
  <c r="Z32" i="1"/>
  <c r="Z18" i="1"/>
  <c r="Z35" i="1"/>
  <c r="Z10" i="1"/>
  <c r="Z19" i="1"/>
  <c r="Z11" i="1"/>
  <c r="Z17" i="1"/>
  <c r="Z33" i="1"/>
  <c r="Z22" i="1"/>
  <c r="Z16" i="1"/>
  <c r="Z31" i="1"/>
  <c r="Z34" i="1"/>
  <c r="Z20" i="1"/>
  <c r="Z30" i="1"/>
  <c r="Z21" i="1"/>
  <c r="Z12" i="1"/>
  <c r="Z15" i="1"/>
  <c r="Z14" i="1"/>
  <c r="Z36" i="1"/>
  <c r="E19" i="4"/>
  <c r="V3" i="2"/>
  <c r="U3" i="2"/>
  <c r="T3" i="2"/>
  <c r="S3" i="2"/>
  <c r="R3" i="2"/>
  <c r="Q3" i="2"/>
  <c r="O3" i="2"/>
  <c r="N3" i="2"/>
  <c r="M3" i="2"/>
  <c r="L3" i="2"/>
  <c r="K3" i="2"/>
  <c r="J3" i="2"/>
  <c r="W9" i="2"/>
  <c r="P7" i="2"/>
  <c r="I13" i="2"/>
  <c r="W8" i="2"/>
  <c r="W10" i="2"/>
  <c r="P8" i="2"/>
  <c r="I12" i="2"/>
  <c r="W11" i="2"/>
  <c r="P9" i="2"/>
  <c r="I7" i="2"/>
  <c r="W13" i="2"/>
  <c r="I9" i="2"/>
  <c r="I10" i="2"/>
  <c r="P5" i="2"/>
  <c r="I11" i="2"/>
  <c r="P6" i="2"/>
  <c r="I4" i="2"/>
  <c r="H3" i="1"/>
  <c r="W12" i="2"/>
  <c r="P10" i="2"/>
  <c r="W5" i="2"/>
  <c r="P11" i="2"/>
  <c r="W6" i="2"/>
  <c r="P12" i="2"/>
  <c r="W7" i="2"/>
  <c r="P13" i="2"/>
  <c r="H25" i="1"/>
  <c r="I25" i="1"/>
  <c r="Z25" i="1"/>
  <c r="H23" i="1"/>
  <c r="I23" i="1"/>
  <c r="Z23" i="1"/>
  <c r="H26" i="1"/>
  <c r="I26" i="1"/>
  <c r="Z26" i="1"/>
  <c r="H28" i="1"/>
  <c r="I28" i="1"/>
  <c r="Z28" i="1"/>
  <c r="H24" i="1"/>
  <c r="I24" i="1"/>
  <c r="Z24" i="1"/>
  <c r="H29" i="1"/>
  <c r="I29" i="1"/>
  <c r="Z29" i="1"/>
  <c r="H27" i="1"/>
  <c r="I27" i="1"/>
  <c r="Z27" i="1"/>
  <c r="P3" i="1"/>
  <c r="Q3" i="1"/>
  <c r="P8" i="1"/>
  <c r="P5" i="1"/>
  <c r="Q5" i="1"/>
  <c r="P9" i="1"/>
  <c r="Q9" i="1"/>
  <c r="P6" i="1"/>
  <c r="Q6" i="1"/>
  <c r="P7" i="1"/>
  <c r="Q7" i="1"/>
  <c r="P4" i="1"/>
  <c r="Q4" i="1"/>
  <c r="H4" i="1"/>
  <c r="I4" i="1"/>
  <c r="H5" i="1"/>
  <c r="I5" i="1"/>
  <c r="I3" i="1"/>
  <c r="H7" i="1"/>
  <c r="I7" i="1"/>
  <c r="H6" i="1"/>
  <c r="I6" i="1"/>
  <c r="H8" i="1"/>
  <c r="I8" i="1"/>
  <c r="H9" i="1"/>
  <c r="I9" i="1"/>
  <c r="X4" i="1"/>
  <c r="Y4" i="1"/>
  <c r="X6" i="1"/>
  <c r="Y6" i="1"/>
  <c r="X9" i="1"/>
  <c r="Y9" i="1"/>
  <c r="X8" i="1"/>
  <c r="Y8" i="1"/>
  <c r="X5" i="1"/>
  <c r="Y5" i="1"/>
  <c r="X3" i="1"/>
  <c r="Y3" i="1"/>
  <c r="X7" i="1"/>
  <c r="Y7" i="1"/>
  <c r="Z4" i="1"/>
  <c r="Q8" i="1"/>
  <c r="Z8" i="1"/>
  <c r="Z3" i="1"/>
  <c r="Z9" i="1"/>
  <c r="Z7" i="1"/>
  <c r="Z5" i="1"/>
  <c r="Z6" i="1"/>
</calcChain>
</file>

<file path=xl/sharedStrings.xml><?xml version="1.0" encoding="utf-8"?>
<sst xmlns="http://schemas.openxmlformats.org/spreadsheetml/2006/main" count="389" uniqueCount="124">
  <si>
    <t>PLANILHA DE AVALIAÇÃO API</t>
  </si>
  <si>
    <t>2025-2</t>
  </si>
  <si>
    <t>Escala: 1, 2, 3, 4</t>
  </si>
  <si>
    <t>Nota Equivalente</t>
  </si>
  <si>
    <t>CURSO:</t>
  </si>
  <si>
    <t>Logística</t>
  </si>
  <si>
    <t>Não Atendeu</t>
  </si>
  <si>
    <t>SEMESTRE:</t>
  </si>
  <si>
    <t>1º Noite</t>
  </si>
  <si>
    <t>Regular</t>
  </si>
  <si>
    <t>PROFESSOR P2:</t>
  </si>
  <si>
    <t>José Jaétis</t>
  </si>
  <si>
    <t>Bom</t>
  </si>
  <si>
    <t>PROFESSOR M2:</t>
  </si>
  <si>
    <t>Marcus Nascimento</t>
  </si>
  <si>
    <t>Muito bom</t>
  </si>
  <si>
    <t>Critérios</t>
  </si>
  <si>
    <t>Tipo</t>
  </si>
  <si>
    <t>Nome</t>
  </si>
  <si>
    <t>Avaliador</t>
  </si>
  <si>
    <t>%</t>
  </si>
  <si>
    <t>Escala</t>
  </si>
  <si>
    <t>Processo</t>
  </si>
  <si>
    <t>P.1. Backlog de Produto</t>
  </si>
  <si>
    <t>P2</t>
  </si>
  <si>
    <t>Não atendeu</t>
  </si>
  <si>
    <t xml:space="preserve"> Preparação antes da Sprint 1, Adequação ao Template</t>
  </si>
  <si>
    <r>
      <t xml:space="preserve">Preparação antes da Sprint 1, Adequação ao Template, </t>
    </r>
    <r>
      <rPr>
        <sz val="11"/>
        <color rgb="FF00B050"/>
        <rFont val="Aptos Narrow"/>
        <family val="2"/>
        <scheme val="minor"/>
      </rPr>
      <t>Priorização por Valor, Interação com Parceiro</t>
    </r>
  </si>
  <si>
    <r>
      <t xml:space="preserve">Preparação antes da Sprint 1, Adequação ao Template, Priorização por Valor, Interação com Parceiro, </t>
    </r>
    <r>
      <rPr>
        <sz val="11"/>
        <color rgb="FF00B050"/>
        <rFont val="Aptos Narrow"/>
        <family val="2"/>
        <scheme val="minor"/>
      </rPr>
      <t xml:space="preserve">Explicitação de Valor do Negócio nas User Stories </t>
    </r>
    <r>
      <rPr>
        <sz val="11"/>
        <rFont val="Aptos Narrow"/>
        <family val="2"/>
        <scheme val="minor"/>
      </rPr>
      <t xml:space="preserve"> </t>
    </r>
  </si>
  <si>
    <t>P.2. Backlog de Sprint</t>
  </si>
  <si>
    <t>Preparação antes da Sprint</t>
  </si>
  <si>
    <r>
      <t xml:space="preserve">Preparação antes da Sprint, </t>
    </r>
    <r>
      <rPr>
        <sz val="11"/>
        <color rgb="FF00B050"/>
        <rFont val="Aptos Narrow"/>
        <family val="2"/>
        <scheme val="minor"/>
      </rPr>
      <t>Precisa conter as User Stories de maior Prioridade, Definição de Meta (imutável)</t>
    </r>
  </si>
  <si>
    <r>
      <t xml:space="preserve">Preparação antes da Sprint, Precisa conter as User Stories de maior Prioridade, Definição de Meta (imutável), </t>
    </r>
    <r>
      <rPr>
        <sz val="11"/>
        <color rgb="FF00B050"/>
        <rFont val="Aptos Narrow"/>
        <family val="2"/>
        <scheme val="minor"/>
      </rPr>
      <t>Cumprimento de DoR</t>
    </r>
  </si>
  <si>
    <t>P.3. Alocação de Tarefas, com base no DoR</t>
  </si>
  <si>
    <t>M2</t>
  </si>
  <si>
    <t>Criação de Tarefas com tamanho adequado (duração prevista menor que 8 horas), Distribuição e Classificação de Tarefas proporcional aos membros</t>
  </si>
  <si>
    <r>
      <t xml:space="preserve">Criação de Tarefas com tamanho adequado (duração prevista menor que 8 horas), Distribuição e Classificação de Tarefas proporcional aos membros, </t>
    </r>
    <r>
      <rPr>
        <sz val="11"/>
        <color rgb="FF00B050"/>
        <rFont val="Aptos Narrow"/>
        <family val="2"/>
        <scheme val="minor"/>
      </rPr>
      <t>Alocação de uma tarefa em progresso por vez, Estimativa de Data de entrega de Tarefa</t>
    </r>
  </si>
  <si>
    <r>
      <t xml:space="preserve">Criação de Tarefas com tamanho adequado (duração prevista menor que 8 horas), Distribuição e Classificação de Tarefas proporcional aos membros, Alocação de uma tarefa em progresso por vez,  Estimativa de Data de entrega de Tarefa, </t>
    </r>
    <r>
      <rPr>
        <sz val="11"/>
        <color rgb="FF00B050"/>
        <rFont val="Aptos Narrow"/>
        <family val="2"/>
        <scheme val="minor"/>
      </rPr>
      <t>Atualização de Burndown com Progresso ou Gráfico Gantt</t>
    </r>
  </si>
  <si>
    <t>GitHub</t>
  </si>
  <si>
    <t>G.1. Documentação no GitHub</t>
  </si>
  <si>
    <t>Membros da Equipe com respectivos papéis, Descrição do desafio, Título do projeto, Backlog do produto, Pasta de documentação</t>
  </si>
  <si>
    <r>
      <t xml:space="preserve">Membros da Equipe com respectivos papéis, Descrição do desafio, Título do projeto, Backlog do produto, </t>
    </r>
    <r>
      <rPr>
        <sz val="11"/>
        <color rgb="FF00B050"/>
        <rFont val="Aptos Narrow"/>
        <family val="2"/>
        <scheme val="minor"/>
      </rPr>
      <t>Tecnologias utilizadas, Preenchimento da página de MVP</t>
    </r>
  </si>
  <si>
    <r>
      <t xml:space="preserve">Membros da Equipe com respectivos papéis, Descrição do desafio, Título do projeto, Backlog do produto, Pasta de documentação, Tecnologias utilizadas, Preenchimento da página de MVP, </t>
    </r>
    <r>
      <rPr>
        <sz val="11"/>
        <color rgb="FF00B050"/>
        <rFont val="Aptos Narrow"/>
        <family val="2"/>
        <scheme val="minor"/>
      </rPr>
      <t xml:space="preserve"> Relatório Técnico da Sprint</t>
    </r>
  </si>
  <si>
    <t>Requisitos</t>
  </si>
  <si>
    <t>R.1. Review - Apresentação</t>
  </si>
  <si>
    <t>Conteúdo (Apresentou todas as User Stories previstas e "algo" funcionando)</t>
  </si>
  <si>
    <r>
      <t>Conteúdo (</t>
    </r>
    <r>
      <rPr>
        <sz val="11"/>
        <color theme="1"/>
        <rFont val="Aptos Narrow"/>
        <family val="2"/>
        <scheme val="minor"/>
      </rPr>
      <t>Apresentou todas as User Stories da Meta do Sprint funcionando e seguindo o template da apresentação</t>
    </r>
    <r>
      <rPr>
        <sz val="11"/>
        <rFont val="Aptos Narrow"/>
        <family val="2"/>
        <scheme val="minor"/>
      </rPr>
      <t xml:space="preserve">), </t>
    </r>
    <r>
      <rPr>
        <sz val="11"/>
        <color rgb="FF00B050"/>
        <rFont val="Aptos Narrow"/>
        <family val="2"/>
        <scheme val="minor"/>
      </rPr>
      <t>Postura (linguagem, time todo presente, respondeu adequadamente as perguntas)</t>
    </r>
  </si>
  <si>
    <r>
      <t xml:space="preserve">Conteúdo (Apresentou todas as User Stories da Meta do Sprint funcionando e seguindo o template da apresentação), Postura (linguagem, time todo presente, respondeu adequadamente as perguntas), </t>
    </r>
    <r>
      <rPr>
        <sz val="11"/>
        <color rgb="FF00B050"/>
        <rFont val="Aptos Narrow"/>
        <family val="2"/>
        <scheme val="minor"/>
      </rPr>
      <t>Uso do tempo</t>
    </r>
  </si>
  <si>
    <t>R.2. Conformidade Técnica - Requisitos Funcionais e Não Funcionais</t>
  </si>
  <si>
    <t>M2/P2</t>
  </si>
  <si>
    <t>Não tem Dashboard</t>
  </si>
  <si>
    <t>Avaliação do professor - Revisão do Dashboard e Tecnologias Aplicadas</t>
  </si>
  <si>
    <t>Soft Skills</t>
  </si>
  <si>
    <t>SOFT. PACER</t>
  </si>
  <si>
    <t>Equipe</t>
  </si>
  <si>
    <t>Avaliação conforme Guia de Soft Skills</t>
  </si>
  <si>
    <t>Total</t>
  </si>
  <si>
    <t>Avaliação individual</t>
  </si>
  <si>
    <t>O que aprendi e o que desenvolvi?</t>
  </si>
  <si>
    <t>Avaliação conforme requisitos tecnológicos do projeto</t>
  </si>
  <si>
    <t>Endereço do Git</t>
  </si>
  <si>
    <t>Sprint 1</t>
  </si>
  <si>
    <t>Sprint 2</t>
  </si>
  <si>
    <t>Sprint 3</t>
  </si>
  <si>
    <t>Backlog de Produto</t>
  </si>
  <si>
    <t>Backlog de Sprint</t>
  </si>
  <si>
    <t>Alocação de Tarefas</t>
  </si>
  <si>
    <t>Documentação no GitHub</t>
  </si>
  <si>
    <t>Apresentação (Review)</t>
  </si>
  <si>
    <t>Conformidade Técnica</t>
  </si>
  <si>
    <t>FactLog</t>
  </si>
  <si>
    <t>https://github.com/Litzank/Projeto-Primeiro-Semestre-Logistica</t>
  </si>
  <si>
    <t>Hermscorp</t>
  </si>
  <si>
    <t>Nexus</t>
  </si>
  <si>
    <t>Gavca</t>
  </si>
  <si>
    <t>https://github.com/Gavca-API/GavcaS01</t>
  </si>
  <si>
    <t>LogSystem</t>
  </si>
  <si>
    <t>Aluno</t>
  </si>
  <si>
    <t>Papel</t>
  </si>
  <si>
    <t>Proatividade</t>
  </si>
  <si>
    <t>Autonomia</t>
  </si>
  <si>
    <t>Colaboração</t>
  </si>
  <si>
    <t>Entrega de Resultados</t>
  </si>
  <si>
    <t>Nota da Equipe</t>
  </si>
  <si>
    <t>Nota do Grupo</t>
  </si>
  <si>
    <t>Nota Final</t>
  </si>
  <si>
    <t xml:space="preserve">Augusto Adriano Silva de Oliveira </t>
  </si>
  <si>
    <t>PO</t>
  </si>
  <si>
    <t>Dev</t>
  </si>
  <si>
    <t>Felipe de Lima Machado</t>
  </si>
  <si>
    <t>SM</t>
  </si>
  <si>
    <t xml:space="preserve">João Ricardo Rodrigues Araújo </t>
  </si>
  <si>
    <t>Luiz Fernando da Silva Melo</t>
  </si>
  <si>
    <t xml:space="preserve">Maria Vitória Macedo Gonçalves </t>
  </si>
  <si>
    <t xml:space="preserve">Samuel Felipe Alves dos Santos </t>
  </si>
  <si>
    <t>Matheus Luiz da Silva Santos</t>
  </si>
  <si>
    <t xml:space="preserve">Enderli dos Passos Santos </t>
  </si>
  <si>
    <t xml:space="preserve">Giovani Ribeiro Machado da Rocha </t>
  </si>
  <si>
    <t xml:space="preserve">João Pedro de Carvalho Souza </t>
  </si>
  <si>
    <t>Laura Salles Ferreira</t>
  </si>
  <si>
    <t>Marcos Santana da Silva</t>
  </si>
  <si>
    <t>Giovane Gouvea Ramos</t>
  </si>
  <si>
    <t>Henrique Nastri</t>
  </si>
  <si>
    <t xml:space="preserve">Kauan ziviani costa de Souza </t>
  </si>
  <si>
    <t>Mariana da Silva Menezes Leal</t>
  </si>
  <si>
    <t>Rodrigo Luiz Ramos dos Santos</t>
  </si>
  <si>
    <t>Cauã Kadson Maranhão Mota</t>
  </si>
  <si>
    <t xml:space="preserve">Davi Pais Kitada </t>
  </si>
  <si>
    <t>Ana Clara Dias de Souza</t>
  </si>
  <si>
    <t>Ana Beatriz</t>
  </si>
  <si>
    <t>Ana Luiza</t>
  </si>
  <si>
    <t>David Ivo</t>
  </si>
  <si>
    <t>Gabrielle</t>
  </si>
  <si>
    <t>Luiz Massa</t>
  </si>
  <si>
    <t>Pedro Dias</t>
  </si>
  <si>
    <t>Isadora Ferreira</t>
  </si>
  <si>
    <t>Luiz Henrique</t>
  </si>
  <si>
    <t>Luiz Felipe</t>
  </si>
  <si>
    <t>Geovanna</t>
  </si>
  <si>
    <t>Rafaela</t>
  </si>
  <si>
    <t>Pedro Henrique</t>
  </si>
  <si>
    <t>Willians</t>
  </si>
  <si>
    <t>Julio</t>
  </si>
  <si>
    <t>Papéis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</si>
</sst>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Aptos Narrow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3E5A1"/>
        <bgColor rgb="FFB3E5A1"/>
      </patternFill>
    </fill>
    <fill>
      <patternFill patternType="solid">
        <fgColor rgb="FFCAEDFB"/>
        <bgColor rgb="FFCAEDFB"/>
      </patternFill>
    </fill>
    <fill>
      <patternFill patternType="solid">
        <fgColor rgb="FFE49EDD"/>
        <bgColor rgb="FFE49ED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B3E5A1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2" fillId="2" borderId="1" xfId="0" applyFont="1" applyFill="1" applyBorder="1"/>
    <xf numFmtId="0" fontId="3" fillId="5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7" borderId="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11" borderId="5" xfId="0" applyFill="1" applyBorder="1" applyAlignment="1">
      <alignment wrapText="1"/>
    </xf>
    <xf numFmtId="0" fontId="2" fillId="12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0" borderId="10" xfId="0" applyFont="1" applyBorder="1"/>
    <xf numFmtId="0" fontId="3" fillId="3" borderId="5" xfId="0" applyFont="1" applyFill="1" applyBorder="1" applyAlignment="1">
      <alignment horizontal="center" wrapText="1"/>
    </xf>
    <xf numFmtId="9" fontId="3" fillId="3" borderId="5" xfId="0" applyNumberFormat="1" applyFont="1" applyFill="1" applyBorder="1" applyAlignment="1">
      <alignment horizontal="center" wrapText="1"/>
    </xf>
    <xf numFmtId="9" fontId="3" fillId="13" borderId="6" xfId="1" applyFont="1" applyFill="1" applyBorder="1" applyAlignment="1">
      <alignment horizontal="center" wrapText="1"/>
    </xf>
    <xf numFmtId="0" fontId="3" fillId="13" borderId="6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4" fillId="10" borderId="5" xfId="0" applyFont="1" applyFill="1" applyBorder="1"/>
    <xf numFmtId="0" fontId="4" fillId="11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9" fontId="0" fillId="6" borderId="5" xfId="0" applyNumberFormat="1" applyFill="1" applyBorder="1" applyAlignment="1">
      <alignment horizontal="center"/>
    </xf>
    <xf numFmtId="9" fontId="0" fillId="6" borderId="5" xfId="1" applyFont="1" applyFill="1" applyBorder="1" applyAlignment="1">
      <alignment horizontal="center"/>
    </xf>
    <xf numFmtId="0" fontId="6" fillId="14" borderId="0" xfId="0" applyFont="1" applyFill="1"/>
    <xf numFmtId="0" fontId="6" fillId="15" borderId="0" xfId="0" applyFont="1" applyFill="1"/>
    <xf numFmtId="0" fontId="6" fillId="14" borderId="0" xfId="0" applyFont="1" applyFill="1" applyAlignment="1">
      <alignment horizontal="center"/>
    </xf>
    <xf numFmtId="164" fontId="0" fillId="0" borderId="5" xfId="0" applyNumberFormat="1" applyBorder="1"/>
    <xf numFmtId="0" fontId="0" fillId="16" borderId="5" xfId="0" applyFill="1" applyBorder="1"/>
    <xf numFmtId="0" fontId="0" fillId="15" borderId="5" xfId="0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6" fillId="0" borderId="0" xfId="0" applyFont="1"/>
    <xf numFmtId="0" fontId="0" fillId="0" borderId="14" xfId="0" applyBorder="1"/>
    <xf numFmtId="0" fontId="0" fillId="0" borderId="5" xfId="0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7" fillId="12" borderId="1" xfId="2" applyFill="1" applyBorder="1"/>
    <xf numFmtId="0" fontId="7" fillId="0" borderId="10" xfId="2" applyBorder="1"/>
    <xf numFmtId="0" fontId="6" fillId="6" borderId="0" xfId="0" applyFont="1" applyFill="1" applyAlignment="1">
      <alignment horizontal="left"/>
    </xf>
    <xf numFmtId="0" fontId="6" fillId="6" borderId="13" xfId="0" applyFont="1" applyFill="1" applyBorder="1" applyAlignment="1">
      <alignment horizontal="left"/>
    </xf>
    <xf numFmtId="0" fontId="0" fillId="14" borderId="5" xfId="0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wrapText="1"/>
    </xf>
    <xf numFmtId="0" fontId="3" fillId="13" borderId="7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2" fillId="0" borderId="5" xfId="0" applyFont="1" applyBorder="1" applyAlignment="1"/>
    <xf numFmtId="0" fontId="3" fillId="3" borderId="1" xfId="0" applyFont="1" applyFill="1" applyBorder="1" applyAlignment="1">
      <alignment horizontal="center" wrapText="1"/>
    </xf>
    <xf numFmtId="0" fontId="4" fillId="0" borderId="5" xfId="0" applyFont="1" applyBorder="1"/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Litzank/Projeto-Primeiro-Semestre-Logistica" TargetMode="External"/><Relationship Id="rId1" Type="http://schemas.openxmlformats.org/officeDocument/2006/relationships/hyperlink" Target="https://github.com/Gavca-API/GavcaS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E2B5-0423-4BB0-98D6-F162F7EBD8A7}">
  <dimension ref="B2:I25"/>
  <sheetViews>
    <sheetView showGridLines="0" zoomScale="80" zoomScaleNormal="80" workbookViewId="0">
      <selection activeCell="I16" sqref="I16"/>
    </sheetView>
  </sheetViews>
  <sheetFormatPr defaultRowHeight="15"/>
  <cols>
    <col min="2" max="2" width="32.7109375" bestFit="1" customWidth="1"/>
    <col min="3" max="3" width="31" customWidth="1"/>
    <col min="4" max="5" width="17" customWidth="1"/>
    <col min="6" max="9" width="30.7109375" customWidth="1"/>
  </cols>
  <sheetData>
    <row r="2" spans="2:9">
      <c r="B2" s="28" t="s">
        <v>0</v>
      </c>
      <c r="C2" s="30" t="s">
        <v>1</v>
      </c>
      <c r="E2" s="41" t="s">
        <v>2</v>
      </c>
      <c r="F2" s="42"/>
      <c r="G2" s="61" t="s">
        <v>3</v>
      </c>
    </row>
    <row r="3" spans="2:9">
      <c r="B3" s="28" t="s">
        <v>4</v>
      </c>
      <c r="C3" s="32" t="s">
        <v>5</v>
      </c>
      <c r="E3" s="6">
        <v>1</v>
      </c>
      <c r="F3" s="6" t="s">
        <v>6</v>
      </c>
      <c r="G3" s="31">
        <v>0</v>
      </c>
    </row>
    <row r="4" spans="2:9">
      <c r="B4" s="28" t="s">
        <v>7</v>
      </c>
      <c r="C4" s="32" t="s">
        <v>8</v>
      </c>
      <c r="E4" s="6">
        <v>2</v>
      </c>
      <c r="F4" s="6" t="s">
        <v>9</v>
      </c>
      <c r="G4" s="31">
        <v>4</v>
      </c>
    </row>
    <row r="5" spans="2:9">
      <c r="B5" s="29" t="s">
        <v>10</v>
      </c>
      <c r="C5" s="32" t="s">
        <v>11</v>
      </c>
      <c r="E5" s="6">
        <v>3</v>
      </c>
      <c r="F5" s="6" t="s">
        <v>12</v>
      </c>
      <c r="G5" s="31">
        <v>7</v>
      </c>
    </row>
    <row r="6" spans="2:9">
      <c r="B6" s="29" t="s">
        <v>13</v>
      </c>
      <c r="C6" s="32" t="s">
        <v>14</v>
      </c>
      <c r="E6" s="6">
        <v>4</v>
      </c>
      <c r="F6" s="6" t="s">
        <v>15</v>
      </c>
      <c r="G6" s="31">
        <v>10</v>
      </c>
    </row>
    <row r="7" spans="2:9">
      <c r="B7" s="35"/>
      <c r="C7" s="36"/>
    </row>
    <row r="9" spans="2:9">
      <c r="B9" s="62" t="s">
        <v>16</v>
      </c>
      <c r="C9" s="62"/>
      <c r="D9" s="62"/>
      <c r="E9" s="62"/>
      <c r="F9" s="62"/>
      <c r="G9" s="62"/>
      <c r="H9" s="62"/>
      <c r="I9" s="62"/>
    </row>
    <row r="10" spans="2:9">
      <c r="B10" s="63" t="s">
        <v>17</v>
      </c>
      <c r="C10" s="63" t="s">
        <v>18</v>
      </c>
      <c r="D10" s="63" t="s">
        <v>19</v>
      </c>
      <c r="E10" s="64" t="s">
        <v>20</v>
      </c>
      <c r="F10" s="63" t="s">
        <v>21</v>
      </c>
      <c r="G10" s="43"/>
      <c r="H10" s="43"/>
      <c r="I10" s="43"/>
    </row>
    <row r="11" spans="2:9">
      <c r="B11" s="63"/>
      <c r="C11" s="63"/>
      <c r="D11" s="63"/>
      <c r="E11" s="65"/>
      <c r="F11" s="8">
        <v>1</v>
      </c>
      <c r="G11" s="9">
        <v>2</v>
      </c>
      <c r="H11" s="10">
        <v>3</v>
      </c>
      <c r="I11" s="11">
        <v>4</v>
      </c>
    </row>
    <row r="12" spans="2:9" ht="68.25">
      <c r="B12" s="23" t="s">
        <v>22</v>
      </c>
      <c r="C12" s="12" t="s">
        <v>23</v>
      </c>
      <c r="D12" s="33" t="s">
        <v>24</v>
      </c>
      <c r="E12" s="26">
        <v>0.1</v>
      </c>
      <c r="F12" s="7" t="s">
        <v>25</v>
      </c>
      <c r="G12" s="7" t="s">
        <v>26</v>
      </c>
      <c r="H12" s="25" t="s">
        <v>27</v>
      </c>
      <c r="I12" s="25" t="s">
        <v>28</v>
      </c>
    </row>
    <row r="13" spans="2:9" ht="54.75">
      <c r="B13" s="23" t="s">
        <v>22</v>
      </c>
      <c r="C13" s="12" t="s">
        <v>29</v>
      </c>
      <c r="D13" s="33" t="s">
        <v>24</v>
      </c>
      <c r="E13" s="26">
        <v>0.1</v>
      </c>
      <c r="F13" s="7" t="s">
        <v>25</v>
      </c>
      <c r="G13" s="7" t="s">
        <v>30</v>
      </c>
      <c r="H13" s="25" t="s">
        <v>31</v>
      </c>
      <c r="I13" s="25" t="s">
        <v>32</v>
      </c>
    </row>
    <row r="14" spans="2:9" ht="121.5">
      <c r="B14" s="23" t="s">
        <v>22</v>
      </c>
      <c r="C14" s="12" t="s">
        <v>33</v>
      </c>
      <c r="D14" s="33" t="s">
        <v>34</v>
      </c>
      <c r="E14" s="26">
        <v>0.1</v>
      </c>
      <c r="F14" s="7" t="s">
        <v>25</v>
      </c>
      <c r="G14" s="25" t="s">
        <v>35</v>
      </c>
      <c r="H14" s="25" t="s">
        <v>36</v>
      </c>
      <c r="I14" s="25" t="s">
        <v>37</v>
      </c>
    </row>
    <row r="15" spans="2:9" ht="81">
      <c r="B15" s="23" t="s">
        <v>38</v>
      </c>
      <c r="C15" s="12" t="s">
        <v>39</v>
      </c>
      <c r="D15" s="33" t="s">
        <v>24</v>
      </c>
      <c r="E15" s="26">
        <v>0.1</v>
      </c>
      <c r="F15" s="7" t="s">
        <v>25</v>
      </c>
      <c r="G15" s="7" t="s">
        <v>40</v>
      </c>
      <c r="H15" s="25" t="s">
        <v>41</v>
      </c>
      <c r="I15" s="25" t="s">
        <v>42</v>
      </c>
    </row>
    <row r="16" spans="2:9" ht="94.5">
      <c r="B16" s="23" t="s">
        <v>43</v>
      </c>
      <c r="C16" s="24" t="s">
        <v>44</v>
      </c>
      <c r="D16" s="33" t="s">
        <v>24</v>
      </c>
      <c r="E16" s="26">
        <v>0.1</v>
      </c>
      <c r="F16" s="7" t="s">
        <v>25</v>
      </c>
      <c r="G16" s="7" t="s">
        <v>45</v>
      </c>
      <c r="H16" s="25" t="s">
        <v>46</v>
      </c>
      <c r="I16" s="25" t="s">
        <v>47</v>
      </c>
    </row>
    <row r="17" spans="2:9" ht="41.25">
      <c r="B17" s="23" t="s">
        <v>43</v>
      </c>
      <c r="C17" s="24" t="s">
        <v>48</v>
      </c>
      <c r="D17" s="33" t="s">
        <v>49</v>
      </c>
      <c r="E17" s="26">
        <v>0.1</v>
      </c>
      <c r="F17" s="7" t="s">
        <v>50</v>
      </c>
      <c r="G17" s="25" t="s">
        <v>51</v>
      </c>
      <c r="H17" s="7" t="s">
        <v>51</v>
      </c>
      <c r="I17" s="25" t="s">
        <v>51</v>
      </c>
    </row>
    <row r="18" spans="2:9" ht="27.75">
      <c r="B18" s="23" t="s">
        <v>52</v>
      </c>
      <c r="C18" s="24" t="s">
        <v>53</v>
      </c>
      <c r="D18" s="34" t="s">
        <v>54</v>
      </c>
      <c r="E18" s="26">
        <v>0.3</v>
      </c>
      <c r="F18" s="7" t="s">
        <v>25</v>
      </c>
      <c r="G18" s="25" t="s">
        <v>55</v>
      </c>
      <c r="H18" s="25" t="s">
        <v>55</v>
      </c>
      <c r="I18" s="25" t="s">
        <v>55</v>
      </c>
    </row>
    <row r="19" spans="2:9">
      <c r="D19" s="33" t="s">
        <v>56</v>
      </c>
      <c r="E19" s="27">
        <f>SUM(E12:E18)</f>
        <v>0.89999999999999991</v>
      </c>
    </row>
    <row r="22" spans="2:9">
      <c r="B22" s="62" t="s">
        <v>16</v>
      </c>
      <c r="C22" s="62"/>
      <c r="D22" s="62"/>
      <c r="E22" s="62"/>
      <c r="F22" s="62"/>
      <c r="G22" s="62"/>
      <c r="H22" s="62"/>
      <c r="I22" s="62"/>
    </row>
    <row r="23" spans="2:9">
      <c r="B23" s="63" t="s">
        <v>17</v>
      </c>
      <c r="C23" s="63" t="s">
        <v>18</v>
      </c>
      <c r="D23" s="63" t="s">
        <v>19</v>
      </c>
      <c r="E23" s="64" t="s">
        <v>20</v>
      </c>
      <c r="F23" s="63" t="s">
        <v>21</v>
      </c>
      <c r="G23" s="43"/>
      <c r="H23" s="43"/>
      <c r="I23" s="43"/>
    </row>
    <row r="24" spans="2:9">
      <c r="B24" s="63"/>
      <c r="C24" s="63"/>
      <c r="D24" s="63"/>
      <c r="E24" s="65"/>
      <c r="F24" s="8">
        <v>1</v>
      </c>
      <c r="G24" s="9">
        <v>2</v>
      </c>
      <c r="H24" s="10">
        <v>3</v>
      </c>
      <c r="I24" s="11">
        <v>4</v>
      </c>
    </row>
    <row r="25" spans="2:9" ht="27.75">
      <c r="B25" s="23" t="s">
        <v>57</v>
      </c>
      <c r="C25" s="24" t="s">
        <v>58</v>
      </c>
      <c r="D25" s="34" t="s">
        <v>49</v>
      </c>
      <c r="E25" s="26">
        <v>0.1</v>
      </c>
      <c r="F25" s="37" t="s">
        <v>25</v>
      </c>
      <c r="G25" s="38" t="s">
        <v>59</v>
      </c>
      <c r="H25" s="38" t="s">
        <v>59</v>
      </c>
      <c r="I25" s="38" t="s">
        <v>59</v>
      </c>
    </row>
  </sheetData>
  <mergeCells count="13">
    <mergeCell ref="B22:I22"/>
    <mergeCell ref="B23:B24"/>
    <mergeCell ref="C23:C24"/>
    <mergeCell ref="D23:D24"/>
    <mergeCell ref="E23:E24"/>
    <mergeCell ref="F23:I23"/>
    <mergeCell ref="E2:F2"/>
    <mergeCell ref="F10:I10"/>
    <mergeCell ref="B9:I9"/>
    <mergeCell ref="D10:D11"/>
    <mergeCell ref="C10:C11"/>
    <mergeCell ref="B10:B11"/>
    <mergeCell ref="E10:E1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1"/>
  <sheetViews>
    <sheetView zoomScale="85" zoomScaleNormal="85" workbookViewId="0">
      <pane xSplit="2" topLeftCell="C1" activePane="topRight" state="frozen"/>
      <selection pane="topRight" activeCell="D25" sqref="D25"/>
    </sheetView>
  </sheetViews>
  <sheetFormatPr defaultColWidth="14.42578125" defaultRowHeight="15" customHeight="1"/>
  <cols>
    <col min="1" max="1" width="26.28515625" customWidth="1"/>
    <col min="2" max="2" width="53.42578125" bestFit="1" customWidth="1"/>
    <col min="3" max="8" width="15.7109375" customWidth="1"/>
    <col min="9" max="9" width="8.7109375" customWidth="1"/>
    <col min="10" max="15" width="15.7109375" customWidth="1"/>
    <col min="16" max="16" width="8.7109375" customWidth="1"/>
    <col min="17" max="22" width="15.7109375" customWidth="1"/>
    <col min="23" max="23" width="8.7109375" customWidth="1"/>
  </cols>
  <sheetData>
    <row r="1" spans="1:23">
      <c r="A1" s="44" t="s">
        <v>18</v>
      </c>
      <c r="B1" s="44" t="s">
        <v>60</v>
      </c>
      <c r="C1" s="54" t="s">
        <v>61</v>
      </c>
      <c r="D1" s="66"/>
      <c r="E1" s="66"/>
      <c r="F1" s="66"/>
      <c r="G1" s="66"/>
      <c r="H1" s="66"/>
      <c r="I1" s="66"/>
      <c r="J1" s="47" t="s">
        <v>62</v>
      </c>
      <c r="K1" s="48"/>
      <c r="L1" s="48"/>
      <c r="M1" s="48"/>
      <c r="N1" s="48"/>
      <c r="O1" s="48"/>
      <c r="P1" s="48"/>
      <c r="Q1" s="49" t="s">
        <v>63</v>
      </c>
      <c r="R1" s="49"/>
      <c r="S1" s="49"/>
      <c r="T1" s="49"/>
      <c r="U1" s="49"/>
      <c r="V1" s="49"/>
      <c r="W1" s="49"/>
    </row>
    <row r="2" spans="1:23" ht="27.75">
      <c r="A2" s="44"/>
      <c r="B2" s="44"/>
      <c r="C2" s="16" t="s">
        <v>64</v>
      </c>
      <c r="D2" s="16" t="s">
        <v>65</v>
      </c>
      <c r="E2" s="16" t="s">
        <v>66</v>
      </c>
      <c r="F2" s="16" t="s">
        <v>67</v>
      </c>
      <c r="G2" s="16" t="s">
        <v>68</v>
      </c>
      <c r="H2" s="16" t="s">
        <v>69</v>
      </c>
      <c r="I2" s="45" t="s">
        <v>56</v>
      </c>
      <c r="J2" s="19" t="s">
        <v>64</v>
      </c>
      <c r="K2" s="20" t="s">
        <v>65</v>
      </c>
      <c r="L2" s="20" t="s">
        <v>66</v>
      </c>
      <c r="M2" s="20" t="s">
        <v>67</v>
      </c>
      <c r="N2" s="20" t="s">
        <v>68</v>
      </c>
      <c r="O2" s="20" t="s">
        <v>69</v>
      </c>
      <c r="P2" s="50" t="s">
        <v>56</v>
      </c>
      <c r="Q2" s="16" t="s">
        <v>64</v>
      </c>
      <c r="R2" s="16" t="s">
        <v>65</v>
      </c>
      <c r="S2" s="16" t="s">
        <v>66</v>
      </c>
      <c r="T2" s="16" t="s">
        <v>67</v>
      </c>
      <c r="U2" s="16" t="s">
        <v>68</v>
      </c>
      <c r="V2" s="16" t="s">
        <v>69</v>
      </c>
      <c r="W2" s="52" t="s">
        <v>56</v>
      </c>
    </row>
    <row r="3" spans="1:23">
      <c r="A3" s="44"/>
      <c r="B3" s="44"/>
      <c r="C3" s="17">
        <f>Critérios!$E$12</f>
        <v>0.1</v>
      </c>
      <c r="D3" s="17">
        <f>Critérios!$E$13</f>
        <v>0.1</v>
      </c>
      <c r="E3" s="17">
        <f>Critérios!$E$14</f>
        <v>0.1</v>
      </c>
      <c r="F3" s="17">
        <f>Critérios!$E$15</f>
        <v>0.1</v>
      </c>
      <c r="G3" s="17">
        <f>Critérios!$E$16</f>
        <v>0.1</v>
      </c>
      <c r="H3" s="17">
        <f>Critérios!$E$17</f>
        <v>0.1</v>
      </c>
      <c r="I3" s="46"/>
      <c r="J3" s="18">
        <f>Critérios!$E$12</f>
        <v>0.1</v>
      </c>
      <c r="K3" s="18">
        <f>Critérios!$E$13</f>
        <v>0.1</v>
      </c>
      <c r="L3" s="18">
        <f>Critérios!$E$14</f>
        <v>0.1</v>
      </c>
      <c r="M3" s="18">
        <f>Critérios!$E$15</f>
        <v>0.1</v>
      </c>
      <c r="N3" s="18">
        <f>Critérios!$E$16</f>
        <v>0.1</v>
      </c>
      <c r="O3" s="18">
        <f>Critérios!$E$17</f>
        <v>0.1</v>
      </c>
      <c r="P3" s="51"/>
      <c r="Q3" s="17">
        <f>Critérios!$E$12</f>
        <v>0.1</v>
      </c>
      <c r="R3" s="17">
        <f>Critérios!$E$13</f>
        <v>0.1</v>
      </c>
      <c r="S3" s="17">
        <f>Critérios!$E$14</f>
        <v>0.1</v>
      </c>
      <c r="T3" s="17">
        <f>Critérios!$E$15</f>
        <v>0.1</v>
      </c>
      <c r="U3" s="17">
        <f>Critérios!$E$16</f>
        <v>0.1</v>
      </c>
      <c r="V3" s="17">
        <f>Critérios!$E$17</f>
        <v>0.1</v>
      </c>
      <c r="W3" s="53"/>
    </row>
    <row r="4" spans="1:23">
      <c r="A4" s="15" t="s">
        <v>70</v>
      </c>
      <c r="B4" s="40" t="s">
        <v>71</v>
      </c>
      <c r="C4" s="15">
        <v>4</v>
      </c>
      <c r="D4" s="15">
        <v>4</v>
      </c>
      <c r="E4" s="15">
        <v>2</v>
      </c>
      <c r="F4" s="15">
        <v>4</v>
      </c>
      <c r="G4" s="15">
        <v>3</v>
      </c>
      <c r="H4" s="15">
        <v>4</v>
      </c>
      <c r="I4" s="15">
        <f>VLOOKUP(C4,Critérios!$E$3:$G$7,3,FALSE)*$C$3+VLOOKUP(D4,Critérios!$E$3:$G$7,3,FALSE)*$D$3+VLOOKUP(E4,Critérios!$E$3:$G$7,3,FALSE)*$E$3+VLOOKUP(F4,Critérios!$E$3:$G$7,3,FALSE)*$F$3+VLOOKUP(G4,Critérios!$E$3:$G$7,3,FALSE)*$G$3+VLOOKUP(H4,Critérios!$E$3:$G$7,3,FALSE)*$H$3</f>
        <v>5.0999999999999996</v>
      </c>
      <c r="J4" s="15">
        <v>1</v>
      </c>
      <c r="K4" s="15">
        <v>1</v>
      </c>
      <c r="L4" s="15">
        <v>1</v>
      </c>
      <c r="M4" s="15">
        <v>1</v>
      </c>
      <c r="N4" s="15">
        <v>1</v>
      </c>
      <c r="O4" s="15">
        <v>1</v>
      </c>
      <c r="P4" s="15">
        <f>VLOOKUP(J4,Critérios!$E$3:$G$7,3,FALSE)*$C$3+VLOOKUP(K4,Critérios!$E$3:$G$7,3,FALSE)*$D$3+VLOOKUP(L4,Critérios!$E$3:$G$7,3,FALSE)*$E$3+VLOOKUP(M4,Critérios!$E$3:$G$7,3,FALSE)*$F$3+VLOOKUP(N4,Critérios!$E$3:$G$7,3,FALSE)*$G$3+VLOOKUP(O4,Critérios!$E$3:$G$7,3,FALSE)*$H$3</f>
        <v>0</v>
      </c>
      <c r="Q4" s="15">
        <v>1</v>
      </c>
      <c r="R4" s="15">
        <v>1</v>
      </c>
      <c r="S4" s="15">
        <v>1</v>
      </c>
      <c r="T4" s="15">
        <v>1</v>
      </c>
      <c r="U4" s="15">
        <v>1</v>
      </c>
      <c r="V4" s="15">
        <v>1</v>
      </c>
      <c r="W4" s="15">
        <f>VLOOKUP(Q4,Critérios!$E$3:$G$7,3,FALSE)*$C$3+VLOOKUP(R4,Critérios!$E$3:$G$7,3,FALSE)*$D$3+VLOOKUP(S4,Critérios!$E$3:$G$7,3,FALSE)*$E$3+VLOOKUP(T4,Critérios!$E$3:$G$7,3,FALSE)*$F$3+VLOOKUP(U4,Critérios!$E$3:$G$7,3,FALSE)*$G$3+VLOOKUP(V4,Critérios!$E$3:$G$7,3,FALSE)*$H$3</f>
        <v>0</v>
      </c>
    </row>
    <row r="5" spans="1:23">
      <c r="A5" s="13" t="s">
        <v>72</v>
      </c>
      <c r="B5" s="13"/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f>VLOOKUP(C5,Critérios!$E$3:$G$7,3,FALSE)*$C$3+VLOOKUP(D5,Critérios!$E$3:$G$7,3,FALSE)*$D$3+VLOOKUP(E5,Critérios!$E$3:$G$7,3,FALSE)*$E$3+VLOOKUP(F5,Critérios!$E$3:$G$7,3,FALSE)*$F$3+VLOOKUP(G5,Critérios!$E$3:$G$7,3,FALSE)*$G$3+VLOOKUP(H5,Critérios!$E$3:$G$7,3,FALSE)*$H$3</f>
        <v>0</v>
      </c>
      <c r="J5" s="13">
        <v>1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f>VLOOKUP(J5,Critérios!$E$3:$G$7,3,FALSE)*$C$3+VLOOKUP(K5,Critérios!$E$3:$G$7,3,FALSE)*$D$3+VLOOKUP(L5,Critérios!$E$3:$G$7,3,FALSE)*$E$3+VLOOKUP(M5,Critérios!$E$3:$G$7,3,FALSE)*$F$3+VLOOKUP(N5,Critérios!$E$3:$G$7,3,FALSE)*$G$3+VLOOKUP(O5,Critérios!$E$3:$G$7,3,FALSE)*$H$3</f>
        <v>0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>
        <v>1</v>
      </c>
      <c r="W5" s="13">
        <f>VLOOKUP(Q5,Critérios!$E$3:$G$7,3,FALSE)*$C$3+VLOOKUP(R5,Critérios!$E$3:$G$7,3,FALSE)*$D$3+VLOOKUP(S5,Critérios!$E$3:$G$7,3,FALSE)*$E$3+VLOOKUP(T5,Critérios!$E$3:$G$7,3,FALSE)*$F$3+VLOOKUP(U5,Critérios!$E$3:$G$7,3,FALSE)*$G$3+VLOOKUP(V5,Critérios!$E$3:$G$7,3,FALSE)*$H$3</f>
        <v>0</v>
      </c>
    </row>
    <row r="6" spans="1:23">
      <c r="A6" s="5" t="s">
        <v>73</v>
      </c>
      <c r="B6" s="5"/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15">
        <f>VLOOKUP(C6,Critérios!$E$3:$G$7,3,FALSE)*$C$3+VLOOKUP(D6,Critérios!$E$3:$G$7,3,FALSE)*$D$3+VLOOKUP(E6,Critérios!$E$3:$G$7,3,FALSE)*$E$3+VLOOKUP(F6,Critérios!$E$3:$G$7,3,FALSE)*$F$3+VLOOKUP(G6,Critérios!$E$3:$G$7,3,FALSE)*$G$3+VLOOKUP(H6,Critérios!$E$3:$G$7,3,FALSE)*$H$3</f>
        <v>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15">
        <f>VLOOKUP(J6,Critérios!$E$3:$G$7,3,FALSE)*$C$3+VLOOKUP(K6,Critérios!$E$3:$G$7,3,FALSE)*$D$3+VLOOKUP(L6,Critérios!$E$3:$G$7,3,FALSE)*$E$3+VLOOKUP(M6,Critérios!$E$3:$G$7,3,FALSE)*$F$3+VLOOKUP(N6,Critérios!$E$3:$G$7,3,FALSE)*$G$3+VLOOKUP(O6,Critérios!$E$3:$G$7,3,FALSE)*$H$3</f>
        <v>0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15">
        <f>VLOOKUP(Q6,Critérios!$E$3:$G$7,3,FALSE)*$C$3+VLOOKUP(R6,Critérios!$E$3:$G$7,3,FALSE)*$D$3+VLOOKUP(S6,Critérios!$E$3:$G$7,3,FALSE)*$E$3+VLOOKUP(T6,Critérios!$E$3:$G$7,3,FALSE)*$F$3+VLOOKUP(U6,Critérios!$E$3:$G$7,3,FALSE)*$G$3+VLOOKUP(V6,Critérios!$E$3:$G$7,3,FALSE)*$H$3</f>
        <v>0</v>
      </c>
    </row>
    <row r="7" spans="1:23">
      <c r="A7" s="13" t="s">
        <v>74</v>
      </c>
      <c r="B7" s="39" t="s">
        <v>75</v>
      </c>
      <c r="C7" s="13">
        <v>4</v>
      </c>
      <c r="D7" s="13">
        <v>4</v>
      </c>
      <c r="E7" s="13">
        <v>2</v>
      </c>
      <c r="F7" s="13">
        <v>4</v>
      </c>
      <c r="G7" s="13">
        <v>3</v>
      </c>
      <c r="H7" s="13">
        <v>4</v>
      </c>
      <c r="I7" s="13">
        <f>VLOOKUP(C7,Critérios!$E$3:$G$7,3,FALSE)*$C$3+VLOOKUP(D7,Critérios!$E$3:$G$7,3,FALSE)*$D$3+VLOOKUP(E7,Critérios!$E$3:$G$7,3,FALSE)*$E$3+VLOOKUP(F7,Critérios!$E$3:$G$7,3,FALSE)*$F$3+VLOOKUP(G7,Critérios!$E$3:$G$7,3,FALSE)*$G$3+VLOOKUP(H7,Critérios!$E$3:$G$7,3,FALSE)*$H$3</f>
        <v>5.0999999999999996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f>VLOOKUP(J7,Critérios!$E$3:$G$7,3,FALSE)*$C$3+VLOOKUP(K7,Critérios!$E$3:$G$7,3,FALSE)*$D$3+VLOOKUP(L7,Critérios!$E$3:$G$7,3,FALSE)*$E$3+VLOOKUP(M7,Critérios!$E$3:$G$7,3,FALSE)*$F$3+VLOOKUP(N7,Critérios!$E$3:$G$7,3,FALSE)*$G$3+VLOOKUP(O7,Critérios!$E$3:$G$7,3,FALSE)*$H$3</f>
        <v>0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f>VLOOKUP(Q7,Critérios!$E$3:$G$7,3,FALSE)*$C$3+VLOOKUP(R7,Critérios!$E$3:$G$7,3,FALSE)*$D$3+VLOOKUP(S7,Critérios!$E$3:$G$7,3,FALSE)*$E$3+VLOOKUP(T7,Critérios!$E$3:$G$7,3,FALSE)*$F$3+VLOOKUP(U7,Critérios!$E$3:$G$7,3,FALSE)*$G$3+VLOOKUP(V7,Critérios!$E$3:$G$7,3,FALSE)*$H$3</f>
        <v>0</v>
      </c>
    </row>
    <row r="8" spans="1:23">
      <c r="A8" s="5" t="s">
        <v>76</v>
      </c>
      <c r="B8" s="5"/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15">
        <f>VLOOKUP(C8,Critérios!$E$3:$G$7,3,FALSE)*$C$3+VLOOKUP(D8,Critérios!$E$3:$G$7,3,FALSE)*$D$3+VLOOKUP(E8,Critérios!$E$3:$G$7,3,FALSE)*$E$3+VLOOKUP(F8,Critérios!$E$3:$G$7,3,FALSE)*$F$3+VLOOKUP(G8,Critérios!$E$3:$G$7,3,FALSE)*$G$3+VLOOKUP(H8,Critérios!$E$3:$G$7,3,FALSE)*$H$3</f>
        <v>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15">
        <f>VLOOKUP(J8,Critérios!$E$3:$G$7,3,FALSE)*$C$3+VLOOKUP(K8,Critérios!$E$3:$G$7,3,FALSE)*$D$3+VLOOKUP(L8,Critérios!$E$3:$G$7,3,FALSE)*$E$3+VLOOKUP(M8,Critérios!$E$3:$G$7,3,FALSE)*$F$3+VLOOKUP(N8,Critérios!$E$3:$G$7,3,FALSE)*$G$3+VLOOKUP(O8,Critérios!$E$3:$G$7,3,FALSE)*$H$3</f>
        <v>0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15">
        <f>VLOOKUP(Q8,Critérios!$E$3:$G$7,3,FALSE)*$C$3+VLOOKUP(R8,Critérios!$E$3:$G$7,3,FALSE)*$D$3+VLOOKUP(S8,Critérios!$E$3:$G$7,3,FALSE)*$E$3+VLOOKUP(T8,Critérios!$E$3:$G$7,3,FALSE)*$F$3+VLOOKUP(U8,Critérios!$E$3:$G$7,3,FALSE)*$G$3+VLOOKUP(V8,Critérios!$E$3:$G$7,3,FALSE)*$H$3</f>
        <v>0</v>
      </c>
    </row>
    <row r="9" spans="1:23">
      <c r="A9" s="13"/>
      <c r="B9" s="13"/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f>VLOOKUP(C9,Critérios!$E$3:$G$7,3,FALSE)*$C$3+VLOOKUP(D9,Critérios!$E$3:$G$7,3,FALSE)*$D$3+VLOOKUP(E9,Critérios!$E$3:$G$7,3,FALSE)*$E$3+VLOOKUP(F9,Critérios!$E$3:$G$7,3,FALSE)*$F$3+VLOOKUP(G9,Critérios!$E$3:$G$7,3,FALSE)*$G$3+VLOOKUP(H9,Critérios!$E$3:$G$7,3,FALSE)*$H$3</f>
        <v>0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f>VLOOKUP(J9,Critérios!$E$3:$G$7,3,FALSE)*$C$3+VLOOKUP(K9,Critérios!$E$3:$G$7,3,FALSE)*$D$3+VLOOKUP(L9,Critérios!$E$3:$G$7,3,FALSE)*$E$3+VLOOKUP(M9,Critérios!$E$3:$G$7,3,FALSE)*$F$3+VLOOKUP(N9,Critérios!$E$3:$G$7,3,FALSE)*$G$3+VLOOKUP(O9,Critérios!$E$3:$G$7,3,FALSE)*$H$3</f>
        <v>0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f>VLOOKUP(Q9,Critérios!$E$3:$G$7,3,FALSE)*$C$3+VLOOKUP(R9,Critérios!$E$3:$G$7,3,FALSE)*$D$3+VLOOKUP(S9,Critérios!$E$3:$G$7,3,FALSE)*$E$3+VLOOKUP(T9,Critérios!$E$3:$G$7,3,FALSE)*$F$3+VLOOKUP(U9,Critérios!$E$3:$G$7,3,FALSE)*$G$3+VLOOKUP(V9,Critérios!$E$3:$G$7,3,FALSE)*$H$3</f>
        <v>0</v>
      </c>
    </row>
    <row r="10" spans="1:23">
      <c r="A10" s="5"/>
      <c r="B10" s="5"/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15">
        <f>VLOOKUP(C10,Critérios!$E$3:$G$7,3,FALSE)*$C$3+VLOOKUP(D10,Critérios!$E$3:$G$7,3,FALSE)*$D$3+VLOOKUP(E10,Critérios!$E$3:$G$7,3,FALSE)*$E$3+VLOOKUP(F10,Critérios!$E$3:$G$7,3,FALSE)*$F$3+VLOOKUP(G10,Critérios!$E$3:$G$7,3,FALSE)*$G$3+VLOOKUP(H10,Critérios!$E$3:$G$7,3,FALSE)*$H$3</f>
        <v>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15">
        <f>VLOOKUP(J10,Critérios!$E$3:$G$7,3,FALSE)*$C$3+VLOOKUP(K10,Critérios!$E$3:$G$7,3,FALSE)*$D$3+VLOOKUP(L10,Critérios!$E$3:$G$7,3,FALSE)*$E$3+VLOOKUP(M10,Critérios!$E$3:$G$7,3,FALSE)*$F$3+VLOOKUP(N10,Critérios!$E$3:$G$7,3,FALSE)*$G$3+VLOOKUP(O10,Critérios!$E$3:$G$7,3,FALSE)*$H$3</f>
        <v>0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15">
        <f>VLOOKUP(Q10,Critérios!$E$3:$G$7,3,FALSE)*$C$3+VLOOKUP(R10,Critérios!$E$3:$G$7,3,FALSE)*$D$3+VLOOKUP(S10,Critérios!$E$3:$G$7,3,FALSE)*$E$3+VLOOKUP(T10,Critérios!$E$3:$G$7,3,FALSE)*$F$3+VLOOKUP(U10,Critérios!$E$3:$G$7,3,FALSE)*$G$3+VLOOKUP(V10,Critérios!$E$3:$G$7,3,FALSE)*$H$3</f>
        <v>0</v>
      </c>
    </row>
    <row r="11" spans="1:23">
      <c r="A11" s="13"/>
      <c r="B11" s="13"/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f>VLOOKUP(C11,Critérios!$E$3:$G$7,3,FALSE)*$C$3+VLOOKUP(D11,Critérios!$E$3:$G$7,3,FALSE)*$D$3+VLOOKUP(E11,Critérios!$E$3:$G$7,3,FALSE)*$E$3+VLOOKUP(F11,Critérios!$E$3:$G$7,3,FALSE)*$F$3+VLOOKUP(G11,Critérios!$E$3:$G$7,3,FALSE)*$G$3+VLOOKUP(H11,Critérios!$E$3:$G$7,3,FALSE)*$H$3</f>
        <v>0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f>VLOOKUP(J11,Critérios!$E$3:$G$7,3,FALSE)*$C$3+VLOOKUP(K11,Critérios!$E$3:$G$7,3,FALSE)*$D$3+VLOOKUP(L11,Critérios!$E$3:$G$7,3,FALSE)*$E$3+VLOOKUP(M11,Critérios!$E$3:$G$7,3,FALSE)*$F$3+VLOOKUP(N11,Critérios!$E$3:$G$7,3,FALSE)*$G$3+VLOOKUP(O11,Critérios!$E$3:$G$7,3,FALSE)*$H$3</f>
        <v>0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f>VLOOKUP(Q11,Critérios!$E$3:$G$7,3,FALSE)*$C$3+VLOOKUP(R11,Critérios!$E$3:$G$7,3,FALSE)*$D$3+VLOOKUP(S11,Critérios!$E$3:$G$7,3,FALSE)*$E$3+VLOOKUP(T11,Critérios!$E$3:$G$7,3,FALSE)*$F$3+VLOOKUP(U11,Critérios!$E$3:$G$7,3,FALSE)*$G$3+VLOOKUP(V11,Critérios!$E$3:$G$7,3,FALSE)*$H$3</f>
        <v>0</v>
      </c>
    </row>
    <row r="12" spans="1:23" ht="15" customHeight="1">
      <c r="A12" s="5"/>
      <c r="B12" s="5"/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15">
        <f>VLOOKUP(C12,Critérios!$E$3:$G$7,3,FALSE)*$C$3+VLOOKUP(D12,Critérios!$E$3:$G$7,3,FALSE)*$D$3+VLOOKUP(E12,Critérios!$E$3:$G$7,3,FALSE)*$E$3+VLOOKUP(F12,Critérios!$E$3:$G$7,3,FALSE)*$F$3+VLOOKUP(G12,Critérios!$E$3:$G$7,3,FALSE)*$G$3+VLOOKUP(H12,Critérios!$E$3:$G$7,3,FALSE)*$H$3</f>
        <v>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15">
        <f>VLOOKUP(J12,Critérios!$E$3:$G$7,3,FALSE)*$C$3+VLOOKUP(K12,Critérios!$E$3:$G$7,3,FALSE)*$D$3+VLOOKUP(L12,Critérios!$E$3:$G$7,3,FALSE)*$E$3+VLOOKUP(M12,Critérios!$E$3:$G$7,3,FALSE)*$F$3+VLOOKUP(N12,Critérios!$E$3:$G$7,3,FALSE)*$G$3+VLOOKUP(O12,Critérios!$E$3:$G$7,3,FALSE)*$H$3</f>
        <v>0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15">
        <f>VLOOKUP(Q12,Critérios!$E$3:$G$7,3,FALSE)*$C$3+VLOOKUP(R12,Critérios!$E$3:$G$7,3,FALSE)*$D$3+VLOOKUP(S12,Critérios!$E$3:$G$7,3,FALSE)*$E$3+VLOOKUP(T12,Critérios!$E$3:$G$7,3,FALSE)*$F$3+VLOOKUP(U12,Critérios!$E$3:$G$7,3,FALSE)*$G$3+VLOOKUP(V12,Critérios!$E$3:$G$7,3,FALSE)*$H$3</f>
        <v>0</v>
      </c>
    </row>
    <row r="13" spans="1:23" ht="15" customHeight="1">
      <c r="A13" s="13"/>
      <c r="B13" s="13"/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f>VLOOKUP(C13,Critérios!$E$3:$G$7,3,FALSE)*$C$3+VLOOKUP(D13,Critérios!$E$3:$G$7,3,FALSE)*$D$3+VLOOKUP(E13,Critérios!$E$3:$G$7,3,FALSE)*$E$3+VLOOKUP(F13,Critérios!$E$3:$G$7,3,FALSE)*$F$3+VLOOKUP(G13,Critérios!$E$3:$G$7,3,FALSE)*$G$3+VLOOKUP(H13,Critérios!$E$3:$G$7,3,FALSE)*$H$3</f>
        <v>0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f>VLOOKUP(J13,Critérios!$E$3:$G$7,3,FALSE)*$C$3+VLOOKUP(K13,Critérios!$E$3:$G$7,3,FALSE)*$D$3+VLOOKUP(L13,Critérios!$E$3:$G$7,3,FALSE)*$E$3+VLOOKUP(M13,Critérios!$E$3:$G$7,3,FALSE)*$F$3+VLOOKUP(N13,Critérios!$E$3:$G$7,3,FALSE)*$G$3+VLOOKUP(O13,Critérios!$E$3:$G$7,3,FALSE)*$H$3</f>
        <v>0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>
        <v>1</v>
      </c>
      <c r="W13" s="13">
        <f>VLOOKUP(Q13,Critérios!$E$3:$G$7,3,FALSE)*$C$3+VLOOKUP(R13,Critérios!$E$3:$G$7,3,FALSE)*$D$3+VLOOKUP(S13,Critérios!$E$3:$G$7,3,FALSE)*$E$3+VLOOKUP(T13,Critérios!$E$3:$G$7,3,FALSE)*$F$3+VLOOKUP(U13,Critérios!$E$3:$G$7,3,FALSE)*$G$3+VLOOKUP(V13,Critérios!$E$3:$G$7,3,FALSE)*$H$3</f>
        <v>0</v>
      </c>
    </row>
    <row r="14" spans="1:23"/>
    <row r="15" spans="1:23"/>
    <row r="16" spans="1:23"/>
    <row r="17"/>
    <row r="18"/>
    <row r="19"/>
    <row r="20"/>
    <row r="2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8">
    <mergeCell ref="A1:A3"/>
    <mergeCell ref="B1:B3"/>
    <mergeCell ref="I2:I3"/>
    <mergeCell ref="J1:P1"/>
    <mergeCell ref="Q1:W1"/>
    <mergeCell ref="P2:P3"/>
    <mergeCell ref="W2:W3"/>
    <mergeCell ref="C1:I1"/>
  </mergeCells>
  <hyperlinks>
    <hyperlink ref="B7" r:id="rId1" xr:uid="{DABBFE29-28AF-4D40-8F5C-43B01834E155}"/>
    <hyperlink ref="B4" r:id="rId2" xr:uid="{FDD1507A-FF50-4931-B809-34AC7E49399F}"/>
  </hyperlinks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F3F273-DE41-4D7D-9395-66891FF4CB20}">
          <x14:formula1>
            <xm:f>Critérios!$E$3:$E$6</xm:f>
          </x14:formula1>
          <xm:sqref>C4:H13 J4:O13 Q4:V13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pane xSplit="1" topLeftCell="D1" activePane="topRight" state="frozen"/>
      <selection pane="topRight" activeCell="D27" sqref="D27"/>
    </sheetView>
  </sheetViews>
  <sheetFormatPr defaultColWidth="14.42578125" defaultRowHeight="15" customHeight="1"/>
  <cols>
    <col min="1" max="1" width="49.85546875" customWidth="1"/>
    <col min="2" max="2" width="11" bestFit="1" customWidth="1"/>
    <col min="3" max="3" width="8.7109375" customWidth="1"/>
    <col min="4" max="7" width="14.7109375" customWidth="1"/>
    <col min="8" max="9" width="14" customWidth="1"/>
    <col min="10" max="11" width="8.7109375" customWidth="1"/>
    <col min="12" max="15" width="14.7109375" customWidth="1"/>
    <col min="16" max="17" width="14" customWidth="1"/>
    <col min="18" max="19" width="8.7109375" customWidth="1"/>
    <col min="20" max="23" width="14.7109375" customWidth="1"/>
    <col min="24" max="25" width="14" customWidth="1"/>
    <col min="26" max="26" width="10" customWidth="1"/>
  </cols>
  <sheetData>
    <row r="1" spans="1:26">
      <c r="A1" s="1"/>
      <c r="B1" s="55" t="s">
        <v>61</v>
      </c>
      <c r="C1" s="56"/>
      <c r="D1" s="56"/>
      <c r="E1" s="56"/>
      <c r="F1" s="56"/>
      <c r="G1" s="56"/>
      <c r="H1" s="56"/>
      <c r="I1" s="57"/>
      <c r="J1" s="58" t="s">
        <v>62</v>
      </c>
      <c r="K1" s="59"/>
      <c r="L1" s="59"/>
      <c r="M1" s="59"/>
      <c r="N1" s="59"/>
      <c r="O1" s="59"/>
      <c r="P1" s="59"/>
      <c r="Q1" s="60"/>
      <c r="R1" s="55" t="s">
        <v>63</v>
      </c>
      <c r="S1" s="56"/>
      <c r="T1" s="56"/>
      <c r="U1" s="56"/>
      <c r="V1" s="56"/>
      <c r="W1" s="56"/>
      <c r="X1" s="56"/>
      <c r="Y1" s="57"/>
      <c r="Z1" s="2"/>
    </row>
    <row r="2" spans="1:26" ht="27.75">
      <c r="A2" s="3" t="s">
        <v>77</v>
      </c>
      <c r="B2" s="14" t="s">
        <v>54</v>
      </c>
      <c r="C2" s="14" t="s">
        <v>78</v>
      </c>
      <c r="D2" s="14" t="s">
        <v>79</v>
      </c>
      <c r="E2" s="14" t="s">
        <v>80</v>
      </c>
      <c r="F2" s="14" t="s">
        <v>81</v>
      </c>
      <c r="G2" s="67" t="s">
        <v>82</v>
      </c>
      <c r="H2" s="14" t="s">
        <v>83</v>
      </c>
      <c r="I2" s="14" t="s">
        <v>56</v>
      </c>
      <c r="J2" s="21" t="s">
        <v>54</v>
      </c>
      <c r="K2" s="21" t="s">
        <v>78</v>
      </c>
      <c r="L2" s="21" t="s">
        <v>79</v>
      </c>
      <c r="M2" s="21" t="s">
        <v>80</v>
      </c>
      <c r="N2" s="21" t="s">
        <v>81</v>
      </c>
      <c r="O2" s="22" t="s">
        <v>82</v>
      </c>
      <c r="P2" s="21" t="s">
        <v>84</v>
      </c>
      <c r="Q2" s="21" t="s">
        <v>56</v>
      </c>
      <c r="R2" s="14" t="s">
        <v>54</v>
      </c>
      <c r="S2" s="14" t="s">
        <v>78</v>
      </c>
      <c r="T2" s="14" t="s">
        <v>79</v>
      </c>
      <c r="U2" s="14" t="s">
        <v>80</v>
      </c>
      <c r="V2" s="14" t="s">
        <v>81</v>
      </c>
      <c r="W2" s="67" t="s">
        <v>82</v>
      </c>
      <c r="X2" s="14" t="s">
        <v>84</v>
      </c>
      <c r="Y2" s="14" t="s">
        <v>56</v>
      </c>
      <c r="Z2" s="2" t="s">
        <v>85</v>
      </c>
    </row>
    <row r="3" spans="1:26">
      <c r="A3" s="5" t="s">
        <v>86</v>
      </c>
      <c r="B3" s="5" t="s">
        <v>70</v>
      </c>
      <c r="C3" s="5" t="s">
        <v>87</v>
      </c>
      <c r="D3" s="5">
        <v>4</v>
      </c>
      <c r="E3" s="5">
        <v>4</v>
      </c>
      <c r="F3" s="5">
        <v>4</v>
      </c>
      <c r="G3" s="5">
        <v>4</v>
      </c>
      <c r="H3" s="5">
        <f>VLOOKUP(B3,Equipes!$A$4:$W$13,9,FALSE)</f>
        <v>5.0999999999999996</v>
      </c>
      <c r="I3" s="5">
        <f>Critérios!$E$18*(VLOOKUP(D3,Critérios!$E$3:$G$7,3,FALSE)+VLOOKUP(E3,Critérios!$E$3:$G$7,3,FALSE)+VLOOKUP(F3,Critérios!$E$3:$G$7,3,FALSE)+VLOOKUP(G3,Critérios!$E$3:$G$7,3,FALSE))/4+H3</f>
        <v>8.1</v>
      </c>
      <c r="J3" s="5" t="s">
        <v>70</v>
      </c>
      <c r="K3" s="5" t="s">
        <v>88</v>
      </c>
      <c r="L3" s="5">
        <v>1</v>
      </c>
      <c r="M3" s="5">
        <v>1</v>
      </c>
      <c r="N3" s="5">
        <v>1</v>
      </c>
      <c r="O3" s="5">
        <v>1</v>
      </c>
      <c r="P3" s="5">
        <f>VLOOKUP(J3,Equipes!$A$4:$W$13,16,FALSE)</f>
        <v>0</v>
      </c>
      <c r="Q3" s="5">
        <f>Critérios!$E$18*(VLOOKUP(L3,Critérios!$E$3:$G$7,3,FALSE)+VLOOKUP(M3,Critérios!$E$3:$G$7,3,FALSE)+VLOOKUP(N3,Critérios!$E$3:$G$7,3,FALSE)+VLOOKUP(O3,Critérios!$E$3:$G$7,3,FALSE))/4+P3</f>
        <v>0</v>
      </c>
      <c r="R3" s="5" t="s">
        <v>70</v>
      </c>
      <c r="S3" s="5" t="s">
        <v>88</v>
      </c>
      <c r="T3" s="5">
        <v>1</v>
      </c>
      <c r="U3" s="5">
        <v>1</v>
      </c>
      <c r="V3" s="5">
        <v>1</v>
      </c>
      <c r="W3" s="5">
        <v>1</v>
      </c>
      <c r="X3" s="5">
        <f>VLOOKUP(R3,Equipes!$A$4:$W$13,23,FALSE)</f>
        <v>0</v>
      </c>
      <c r="Y3" s="5">
        <f>Critérios!$E$18*(VLOOKUP(T3,Critérios!$E$3:$G$7,3,FALSE)+VLOOKUP(U3,Critérios!$E$3:$G$7,3,FALSE)+VLOOKUP(V3,Critérios!$E$3:$G$7,3,FALSE)+VLOOKUP(W3,Critérios!$E$3:$G$7,3,FALSE))/4+X3</f>
        <v>0</v>
      </c>
      <c r="Z3" s="5">
        <f>AVERAGE(I3,Q3,Y3)</f>
        <v>2.6999999999999997</v>
      </c>
    </row>
    <row r="4" spans="1:26">
      <c r="A4" s="5" t="s">
        <v>89</v>
      </c>
      <c r="B4" s="5" t="s">
        <v>70</v>
      </c>
      <c r="C4" s="5" t="s">
        <v>90</v>
      </c>
      <c r="D4" s="5">
        <v>4</v>
      </c>
      <c r="E4" s="5">
        <v>4</v>
      </c>
      <c r="F4" s="5">
        <v>4</v>
      </c>
      <c r="G4" s="5">
        <v>4</v>
      </c>
      <c r="H4" s="5">
        <f>VLOOKUP(B4,Equipes!$A$4:$W$13,9,FALSE)</f>
        <v>5.0999999999999996</v>
      </c>
      <c r="I4" s="5">
        <f>Critérios!$E$18*(VLOOKUP(D4,Critérios!$E$3:$G$7,3,FALSE)+VLOOKUP(E4,Critérios!$E$3:$G$7,3,FALSE)+VLOOKUP(F4,Critérios!$E$3:$G$7,3,FALSE)+VLOOKUP(G4,Critérios!$E$3:$G$7,3,FALSE))/4+H4</f>
        <v>8.1</v>
      </c>
      <c r="J4" s="5" t="s">
        <v>70</v>
      </c>
      <c r="K4" s="5" t="s">
        <v>90</v>
      </c>
      <c r="L4" s="5">
        <v>1</v>
      </c>
      <c r="M4" s="5">
        <v>1</v>
      </c>
      <c r="N4" s="5">
        <v>1</v>
      </c>
      <c r="O4" s="5">
        <v>1</v>
      </c>
      <c r="P4" s="5">
        <f>VLOOKUP(J4,Equipes!$A$4:$W$13,16,FALSE)</f>
        <v>0</v>
      </c>
      <c r="Q4" s="5">
        <f>Critérios!$E$18*(VLOOKUP(L4,Critérios!$E$3:$G$7,3,FALSE)+VLOOKUP(M4,Critérios!$E$3:$G$7,3,FALSE)+VLOOKUP(N4,Critérios!$E$3:$G$7,3,FALSE)+VLOOKUP(O4,Critérios!$E$3:$G$7,3,FALSE))/4+P4</f>
        <v>0</v>
      </c>
      <c r="R4" s="5" t="s">
        <v>70</v>
      </c>
      <c r="S4" s="5" t="s">
        <v>90</v>
      </c>
      <c r="T4" s="5">
        <v>1</v>
      </c>
      <c r="U4" s="5">
        <v>1</v>
      </c>
      <c r="V4" s="5">
        <v>1</v>
      </c>
      <c r="W4" s="5">
        <v>1</v>
      </c>
      <c r="X4" s="5">
        <f>VLOOKUP(R4,Equipes!$A$4:$W$13,23,FALSE)</f>
        <v>0</v>
      </c>
      <c r="Y4" s="5">
        <f>Critérios!$E$18*(VLOOKUP(T4,Critérios!$E$3:$G$7,3,FALSE)+VLOOKUP(U4,Critérios!$E$3:$G$7,3,FALSE)+VLOOKUP(V4,Critérios!$E$3:$G$7,3,FALSE)+VLOOKUP(W4,Critérios!$E$3:$G$7,3,FALSE))/4+X4</f>
        <v>0</v>
      </c>
      <c r="Z4" s="5">
        <f t="shared" ref="Z4:Z52" si="0">AVERAGE(I4,Q4,Y4)</f>
        <v>2.6999999999999997</v>
      </c>
    </row>
    <row r="5" spans="1:26">
      <c r="A5" s="5" t="s">
        <v>91</v>
      </c>
      <c r="B5" s="5" t="s">
        <v>70</v>
      </c>
      <c r="C5" s="5" t="s">
        <v>88</v>
      </c>
      <c r="D5" s="5">
        <v>4</v>
      </c>
      <c r="E5" s="5">
        <v>4</v>
      </c>
      <c r="F5" s="5">
        <v>4</v>
      </c>
      <c r="G5" s="5">
        <v>4</v>
      </c>
      <c r="H5" s="5">
        <f>VLOOKUP(B5,Equipes!$A$4:$W$13,9,FALSE)</f>
        <v>5.0999999999999996</v>
      </c>
      <c r="I5" s="5">
        <f>Critérios!$E$18*(VLOOKUP(D5,Critérios!$E$3:$G$7,3,FALSE)+VLOOKUP(E5,Critérios!$E$3:$G$7,3,FALSE)+VLOOKUP(F5,Critérios!$E$3:$G$7,3,FALSE)+VLOOKUP(G5,Critérios!$E$3:$G$7,3,FALSE))/4+H5</f>
        <v>8.1</v>
      </c>
      <c r="J5" s="5" t="s">
        <v>70</v>
      </c>
      <c r="K5" s="5" t="s">
        <v>87</v>
      </c>
      <c r="L5" s="5">
        <v>1</v>
      </c>
      <c r="M5" s="5">
        <v>1</v>
      </c>
      <c r="N5" s="5">
        <v>1</v>
      </c>
      <c r="O5" s="5">
        <v>1</v>
      </c>
      <c r="P5" s="5">
        <f>VLOOKUP(J5,Equipes!$A$4:$W$13,16,FALSE)</f>
        <v>0</v>
      </c>
      <c r="Q5" s="5">
        <f>Critérios!$E$18*(VLOOKUP(L5,Critérios!$E$3:$G$7,3,FALSE)+VLOOKUP(M5,Critérios!$E$3:$G$7,3,FALSE)+VLOOKUP(N5,Critérios!$E$3:$G$7,3,FALSE)+VLOOKUP(O5,Critérios!$E$3:$G$7,3,FALSE))/4+P5</f>
        <v>0</v>
      </c>
      <c r="R5" s="5" t="s">
        <v>70</v>
      </c>
      <c r="S5" s="5" t="s">
        <v>87</v>
      </c>
      <c r="T5" s="5">
        <v>1</v>
      </c>
      <c r="U5" s="5">
        <v>1</v>
      </c>
      <c r="V5" s="5">
        <v>1</v>
      </c>
      <c r="W5" s="5">
        <v>1</v>
      </c>
      <c r="X5" s="5">
        <f>VLOOKUP(R5,Equipes!$A$4:$W$13,23,FALSE)</f>
        <v>0</v>
      </c>
      <c r="Y5" s="5">
        <f>Critérios!$E$18*(VLOOKUP(T5,Critérios!$E$3:$G$7,3,FALSE)+VLOOKUP(U5,Critérios!$E$3:$G$7,3,FALSE)+VLOOKUP(V5,Critérios!$E$3:$G$7,3,FALSE)+VLOOKUP(W5,Critérios!$E$3:$G$7,3,FALSE))/4+X5</f>
        <v>0</v>
      </c>
      <c r="Z5" s="5">
        <f t="shared" si="0"/>
        <v>2.6999999999999997</v>
      </c>
    </row>
    <row r="6" spans="1:26">
      <c r="A6" s="5" t="s">
        <v>92</v>
      </c>
      <c r="B6" s="5" t="s">
        <v>70</v>
      </c>
      <c r="C6" s="5" t="s">
        <v>88</v>
      </c>
      <c r="D6" s="5">
        <v>4</v>
      </c>
      <c r="E6" s="5">
        <v>4</v>
      </c>
      <c r="F6" s="5">
        <v>4</v>
      </c>
      <c r="G6" s="5">
        <v>4</v>
      </c>
      <c r="H6" s="5">
        <f>VLOOKUP(B6,Equipes!$A$4:$W$13,9,FALSE)</f>
        <v>5.0999999999999996</v>
      </c>
      <c r="I6" s="5">
        <f>Critérios!$E$18*(VLOOKUP(D6,Critérios!$E$3:$G$7,3,FALSE)+VLOOKUP(E6,Critérios!$E$3:$G$7,3,FALSE)+VLOOKUP(F6,Critérios!$E$3:$G$7,3,FALSE)+VLOOKUP(G6,Critérios!$E$3:$G$7,3,FALSE))/4+H6</f>
        <v>8.1</v>
      </c>
      <c r="J6" s="5" t="s">
        <v>70</v>
      </c>
      <c r="K6" s="5" t="s">
        <v>88</v>
      </c>
      <c r="L6" s="5">
        <v>1</v>
      </c>
      <c r="M6" s="5">
        <v>1</v>
      </c>
      <c r="N6" s="5">
        <v>1</v>
      </c>
      <c r="O6" s="5">
        <v>1</v>
      </c>
      <c r="P6" s="5">
        <f>VLOOKUP(J6,Equipes!$A$4:$W$13,16,FALSE)</f>
        <v>0</v>
      </c>
      <c r="Q6" s="5">
        <f>Critérios!$E$18*(VLOOKUP(L6,Critérios!$E$3:$G$7,3,FALSE)+VLOOKUP(M6,Critérios!$E$3:$G$7,3,FALSE)+VLOOKUP(N6,Critérios!$E$3:$G$7,3,FALSE)+VLOOKUP(O6,Critérios!$E$3:$G$7,3,FALSE))/4+P6</f>
        <v>0</v>
      </c>
      <c r="R6" s="5" t="s">
        <v>70</v>
      </c>
      <c r="S6" s="5" t="s">
        <v>88</v>
      </c>
      <c r="T6" s="5">
        <v>1</v>
      </c>
      <c r="U6" s="5">
        <v>1</v>
      </c>
      <c r="V6" s="5">
        <v>1</v>
      </c>
      <c r="W6" s="5">
        <v>1</v>
      </c>
      <c r="X6" s="5">
        <f>VLOOKUP(R6,Equipes!$A$4:$W$13,23,FALSE)</f>
        <v>0</v>
      </c>
      <c r="Y6" s="5">
        <f>Critérios!$E$18*(VLOOKUP(T6,Critérios!$E$3:$G$7,3,FALSE)+VLOOKUP(U6,Critérios!$E$3:$G$7,3,FALSE)+VLOOKUP(V6,Critérios!$E$3:$G$7,3,FALSE)+VLOOKUP(W6,Critérios!$E$3:$G$7,3,FALSE))/4+X6</f>
        <v>0</v>
      </c>
      <c r="Z6" s="5">
        <f t="shared" si="0"/>
        <v>2.6999999999999997</v>
      </c>
    </row>
    <row r="7" spans="1:26">
      <c r="A7" s="5" t="s">
        <v>93</v>
      </c>
      <c r="B7" s="5" t="s">
        <v>70</v>
      </c>
      <c r="C7" s="5" t="s">
        <v>88</v>
      </c>
      <c r="D7" s="5">
        <v>4</v>
      </c>
      <c r="E7" s="5">
        <v>4</v>
      </c>
      <c r="F7" s="5">
        <v>4</v>
      </c>
      <c r="G7" s="5">
        <v>4</v>
      </c>
      <c r="H7" s="5">
        <f>VLOOKUP(B7,Equipes!$A$4:$W$13,9,FALSE)</f>
        <v>5.0999999999999996</v>
      </c>
      <c r="I7" s="5">
        <f>Critérios!$E$18*(VLOOKUP(D7,Critérios!$E$3:$G$7,3,FALSE)+VLOOKUP(E7,Critérios!$E$3:$G$7,3,FALSE)+VLOOKUP(F7,Critérios!$E$3:$G$7,3,FALSE)+VLOOKUP(G7,Critérios!$E$3:$G$7,3,FALSE))/4+H7</f>
        <v>8.1</v>
      </c>
      <c r="J7" s="5" t="s">
        <v>70</v>
      </c>
      <c r="K7" s="5" t="s">
        <v>88</v>
      </c>
      <c r="L7" s="5">
        <v>1</v>
      </c>
      <c r="M7" s="5">
        <v>1</v>
      </c>
      <c r="N7" s="5">
        <v>1</v>
      </c>
      <c r="O7" s="5">
        <v>1</v>
      </c>
      <c r="P7" s="5">
        <f>VLOOKUP(J7,Equipes!$A$4:$W$13,16,FALSE)</f>
        <v>0</v>
      </c>
      <c r="Q7" s="5">
        <f>Critérios!$E$18*(VLOOKUP(L7,Critérios!$E$3:$G$7,3,FALSE)+VLOOKUP(M7,Critérios!$E$3:$G$7,3,FALSE)+VLOOKUP(N7,Critérios!$E$3:$G$7,3,FALSE)+VLOOKUP(O7,Critérios!$E$3:$G$7,3,FALSE))/4+P7</f>
        <v>0</v>
      </c>
      <c r="R7" s="5" t="s">
        <v>70</v>
      </c>
      <c r="S7" s="5" t="s">
        <v>88</v>
      </c>
      <c r="T7" s="5">
        <v>1</v>
      </c>
      <c r="U7" s="5">
        <v>1</v>
      </c>
      <c r="V7" s="5">
        <v>1</v>
      </c>
      <c r="W7" s="5">
        <v>1</v>
      </c>
      <c r="X7" s="5">
        <f>VLOOKUP(R7,Equipes!$A$4:$W$13,23,FALSE)</f>
        <v>0</v>
      </c>
      <c r="Y7" s="5">
        <f>Critérios!$E$18*(VLOOKUP(T7,Critérios!$E$3:$G$7,3,FALSE)+VLOOKUP(U7,Critérios!$E$3:$G$7,3,FALSE)+VLOOKUP(V7,Critérios!$E$3:$G$7,3,FALSE)+VLOOKUP(W7,Critérios!$E$3:$G$7,3,FALSE))/4+X7</f>
        <v>0</v>
      </c>
      <c r="Z7" s="5">
        <f t="shared" si="0"/>
        <v>2.6999999999999997</v>
      </c>
    </row>
    <row r="8" spans="1:26">
      <c r="A8" s="5" t="s">
        <v>94</v>
      </c>
      <c r="B8" s="5" t="s">
        <v>70</v>
      </c>
      <c r="C8" s="5" t="s">
        <v>88</v>
      </c>
      <c r="D8" s="5">
        <v>4</v>
      </c>
      <c r="E8" s="5">
        <v>4</v>
      </c>
      <c r="F8" s="5">
        <v>4</v>
      </c>
      <c r="G8" s="5">
        <v>4</v>
      </c>
      <c r="H8" s="5">
        <f>VLOOKUP(B8,Equipes!$A$4:$W$13,9,FALSE)</f>
        <v>5.0999999999999996</v>
      </c>
      <c r="I8" s="5">
        <f>Critérios!$E$18*(VLOOKUP(D8,Critérios!$E$3:$G$7,3,FALSE)+VLOOKUP(E8,Critérios!$E$3:$G$7,3,FALSE)+VLOOKUP(F8,Critérios!$E$3:$G$7,3,FALSE)+VLOOKUP(G8,Critérios!$E$3:$G$7,3,FALSE))/4+H8</f>
        <v>8.1</v>
      </c>
      <c r="J8" s="5" t="s">
        <v>70</v>
      </c>
      <c r="K8" s="5" t="s">
        <v>90</v>
      </c>
      <c r="L8" s="5">
        <v>1</v>
      </c>
      <c r="M8" s="5">
        <v>1</v>
      </c>
      <c r="N8" s="5">
        <v>1</v>
      </c>
      <c r="O8" s="5">
        <v>1</v>
      </c>
      <c r="P8" s="5">
        <f>VLOOKUP(J8,Equipes!$A$4:$W$13,16,FALSE)</f>
        <v>0</v>
      </c>
      <c r="Q8" s="5">
        <f>Critérios!$E$18*(VLOOKUP(L8,Critérios!$E$3:$G$7,3,FALSE)+VLOOKUP(M8,Critérios!$E$3:$G$7,3,FALSE)+VLOOKUP(N8,Critérios!$E$3:$G$7,3,FALSE)+VLOOKUP(O8,Critérios!$E$3:$G$7,3,FALSE))/4+P8</f>
        <v>0</v>
      </c>
      <c r="R8" s="5" t="s">
        <v>70</v>
      </c>
      <c r="S8" s="5" t="s">
        <v>90</v>
      </c>
      <c r="T8" s="5">
        <v>1</v>
      </c>
      <c r="U8" s="5">
        <v>1</v>
      </c>
      <c r="V8" s="5">
        <v>1</v>
      </c>
      <c r="W8" s="5">
        <v>1</v>
      </c>
      <c r="X8" s="5">
        <f>VLOOKUP(R8,Equipes!$A$4:$W$13,23,FALSE)</f>
        <v>0</v>
      </c>
      <c r="Y8" s="5">
        <f>Critérios!$E$18*(VLOOKUP(T8,Critérios!$E$3:$G$7,3,FALSE)+VLOOKUP(U8,Critérios!$E$3:$G$7,3,FALSE)+VLOOKUP(V8,Critérios!$E$3:$G$7,3,FALSE)+VLOOKUP(W8,Critérios!$E$3:$G$7,3,FALSE))/4+X8</f>
        <v>0</v>
      </c>
      <c r="Z8" s="5">
        <f t="shared" si="0"/>
        <v>2.6999999999999997</v>
      </c>
    </row>
    <row r="9" spans="1:26">
      <c r="A9" s="5" t="s">
        <v>95</v>
      </c>
      <c r="B9" s="5" t="s">
        <v>70</v>
      </c>
      <c r="C9" s="5" t="s">
        <v>88</v>
      </c>
      <c r="D9" s="5">
        <v>4</v>
      </c>
      <c r="E9" s="5">
        <v>4</v>
      </c>
      <c r="F9" s="5">
        <v>4</v>
      </c>
      <c r="G9" s="5">
        <v>4</v>
      </c>
      <c r="H9" s="5">
        <f>VLOOKUP(B9,Equipes!$A$4:$W$13,9,FALSE)</f>
        <v>5.0999999999999996</v>
      </c>
      <c r="I9" s="5">
        <f>Critérios!$E$18*(VLOOKUP(D9,Critérios!$E$3:$G$7,3,FALSE)+VLOOKUP(E9,Critérios!$E$3:$G$7,3,FALSE)+VLOOKUP(F9,Critérios!$E$3:$G$7,3,FALSE)+VLOOKUP(G9,Critérios!$E$3:$G$7,3,FALSE))/4+H9</f>
        <v>8.1</v>
      </c>
      <c r="J9" s="5" t="s">
        <v>70</v>
      </c>
      <c r="K9" s="5" t="s">
        <v>88</v>
      </c>
      <c r="L9" s="5">
        <v>1</v>
      </c>
      <c r="M9" s="5">
        <v>1</v>
      </c>
      <c r="N9" s="5">
        <v>1</v>
      </c>
      <c r="O9" s="5">
        <v>1</v>
      </c>
      <c r="P9" s="5">
        <f>VLOOKUP(J9,Equipes!$A$4:$W$13,16,FALSE)</f>
        <v>0</v>
      </c>
      <c r="Q9" s="5">
        <f>Critérios!$E$18*(VLOOKUP(L9,Critérios!$E$3:$G$7,3,FALSE)+VLOOKUP(M9,Critérios!$E$3:$G$7,3,FALSE)+VLOOKUP(N9,Critérios!$E$3:$G$7,3,FALSE)+VLOOKUP(O9,Critérios!$E$3:$G$7,3,FALSE))/4+P9</f>
        <v>0</v>
      </c>
      <c r="R9" s="5" t="s">
        <v>70</v>
      </c>
      <c r="S9" s="5" t="s">
        <v>88</v>
      </c>
      <c r="T9" s="5">
        <v>1</v>
      </c>
      <c r="U9" s="5">
        <v>1</v>
      </c>
      <c r="V9" s="5">
        <v>1</v>
      </c>
      <c r="W9" s="5">
        <v>1</v>
      </c>
      <c r="X9" s="5">
        <f>VLOOKUP(R9,Equipes!$A$4:$W$13,23,FALSE)</f>
        <v>0</v>
      </c>
      <c r="Y9" s="5">
        <f>Critérios!$E$18*(VLOOKUP(T9,Critérios!$E$3:$G$7,3,FALSE)+VLOOKUP(U9,Critérios!$E$3:$G$7,3,FALSE)+VLOOKUP(V9,Critérios!$E$3:$G$7,3,FALSE)+VLOOKUP(W9,Critérios!$E$3:$G$7,3,FALSE))/4+X9</f>
        <v>0</v>
      </c>
      <c r="Z9" s="5">
        <f t="shared" si="0"/>
        <v>2.6999999999999997</v>
      </c>
    </row>
    <row r="10" spans="1:26">
      <c r="A10" s="5" t="s">
        <v>96</v>
      </c>
      <c r="B10" s="5" t="s">
        <v>72</v>
      </c>
      <c r="C10" s="5" t="s">
        <v>88</v>
      </c>
      <c r="D10" s="5">
        <v>1</v>
      </c>
      <c r="E10" s="5">
        <v>1</v>
      </c>
      <c r="F10" s="5">
        <v>1</v>
      </c>
      <c r="G10" s="5">
        <v>1</v>
      </c>
      <c r="H10" s="5">
        <f>VLOOKUP(B10,Equipes!$A$4:$W$13,9,FALSE)</f>
        <v>0</v>
      </c>
      <c r="I10" s="5">
        <f>Critérios!$E$18*(VLOOKUP(D10,Critérios!$E$3:$G$7,3,FALSE)+VLOOKUP(E10,Critérios!$E$3:$G$7,3,FALSE)+VLOOKUP(F10,Critérios!$E$3:$G$7,3,FALSE)+VLOOKUP(G10,Critérios!$E$3:$G$7,3,FALSE))/4+H10</f>
        <v>0</v>
      </c>
      <c r="J10" s="5" t="s">
        <v>70</v>
      </c>
      <c r="K10" s="5" t="s">
        <v>88</v>
      </c>
      <c r="L10" s="5">
        <v>1</v>
      </c>
      <c r="M10" s="5">
        <v>1</v>
      </c>
      <c r="N10" s="5">
        <v>1</v>
      </c>
      <c r="O10" s="5">
        <v>1</v>
      </c>
      <c r="P10" s="5">
        <f>VLOOKUP(J10,Equipes!$A$4:$W$13,16,FALSE)</f>
        <v>0</v>
      </c>
      <c r="Q10" s="5">
        <f>Critérios!$E$18*(VLOOKUP(L10,Critérios!$E$3:$G$7,3,FALSE)+VLOOKUP(M10,Critérios!$E$3:$G$7,3,FALSE)+VLOOKUP(N10,Critérios!$E$3:$G$7,3,FALSE)+VLOOKUP(O10,Critérios!$E$3:$G$7,3,FALSE))/4+P10</f>
        <v>0</v>
      </c>
      <c r="R10" s="5" t="s">
        <v>70</v>
      </c>
      <c r="S10" s="5" t="s">
        <v>88</v>
      </c>
      <c r="T10" s="5">
        <v>1</v>
      </c>
      <c r="U10" s="5">
        <v>1</v>
      </c>
      <c r="V10" s="5">
        <v>1</v>
      </c>
      <c r="W10" s="5">
        <v>1</v>
      </c>
      <c r="X10" s="5">
        <f>VLOOKUP(R10,Equipes!$A$4:$W$13,23,FALSE)</f>
        <v>0</v>
      </c>
      <c r="Y10" s="5">
        <f>Critérios!$E$18*(VLOOKUP(T10,Critérios!$E$3:$G$7,3,FALSE)+VLOOKUP(U10,Critérios!$E$3:$G$7,3,FALSE)+VLOOKUP(V10,Critérios!$E$3:$G$7,3,FALSE)+VLOOKUP(W10,Critérios!$E$3:$G$7,3,FALSE))/4+X10</f>
        <v>0</v>
      </c>
      <c r="Z10" s="5">
        <f t="shared" ref="Z10:Z52" si="1">AVERAGE(I10,Q10,Y10)</f>
        <v>0</v>
      </c>
    </row>
    <row r="11" spans="1:26">
      <c r="A11" s="5" t="s">
        <v>97</v>
      </c>
      <c r="B11" s="5" t="s">
        <v>72</v>
      </c>
      <c r="C11" s="5" t="s">
        <v>88</v>
      </c>
      <c r="D11" s="5">
        <v>1</v>
      </c>
      <c r="E11" s="5">
        <v>1</v>
      </c>
      <c r="F11" s="5">
        <v>1</v>
      </c>
      <c r="G11" s="5">
        <v>1</v>
      </c>
      <c r="H11" s="5">
        <f>VLOOKUP(B11,Equipes!$A$4:$W$13,9,FALSE)</f>
        <v>0</v>
      </c>
      <c r="I11" s="5">
        <f>Critérios!$E$18*(VLOOKUP(D11,Critérios!$E$3:$G$7,3,FALSE)+VLOOKUP(E11,Critérios!$E$3:$G$7,3,FALSE)+VLOOKUP(F11,Critérios!$E$3:$G$7,3,FALSE)+VLOOKUP(G11,Critérios!$E$3:$G$7,3,FALSE))/4+H11</f>
        <v>0</v>
      </c>
      <c r="J11" s="5" t="s">
        <v>70</v>
      </c>
      <c r="K11" s="5" t="s">
        <v>88</v>
      </c>
      <c r="L11" s="5">
        <v>1</v>
      </c>
      <c r="M11" s="5">
        <v>1</v>
      </c>
      <c r="N11" s="5">
        <v>1</v>
      </c>
      <c r="O11" s="5">
        <v>1</v>
      </c>
      <c r="P11" s="5">
        <f>VLOOKUP(J11,Equipes!$A$4:$W$13,16,FALSE)</f>
        <v>0</v>
      </c>
      <c r="Q11" s="5">
        <f>Critérios!$E$18*(VLOOKUP(L11,Critérios!$E$3:$G$7,3,FALSE)+VLOOKUP(M11,Critérios!$E$3:$G$7,3,FALSE)+VLOOKUP(N11,Critérios!$E$3:$G$7,3,FALSE)+VLOOKUP(O11,Critérios!$E$3:$G$7,3,FALSE))/4+P11</f>
        <v>0</v>
      </c>
      <c r="R11" s="5" t="s">
        <v>70</v>
      </c>
      <c r="S11" s="5" t="s">
        <v>88</v>
      </c>
      <c r="T11" s="5">
        <v>1</v>
      </c>
      <c r="U11" s="5">
        <v>1</v>
      </c>
      <c r="V11" s="5">
        <v>1</v>
      </c>
      <c r="W11" s="5">
        <v>1</v>
      </c>
      <c r="X11" s="5">
        <f>VLOOKUP(R11,Equipes!$A$4:$W$13,23,FALSE)</f>
        <v>0</v>
      </c>
      <c r="Y11" s="5">
        <f>Critérios!$E$18*(VLOOKUP(T11,Critérios!$E$3:$G$7,3,FALSE)+VLOOKUP(U11,Critérios!$E$3:$G$7,3,FALSE)+VLOOKUP(V11,Critérios!$E$3:$G$7,3,FALSE)+VLOOKUP(W11,Critérios!$E$3:$G$7,3,FALSE))/4+X11</f>
        <v>0</v>
      </c>
      <c r="Z11" s="5">
        <f t="shared" si="1"/>
        <v>0</v>
      </c>
    </row>
    <row r="12" spans="1:26">
      <c r="A12" s="5" t="s">
        <v>98</v>
      </c>
      <c r="B12" s="5" t="s">
        <v>72</v>
      </c>
      <c r="C12" s="5" t="s">
        <v>88</v>
      </c>
      <c r="D12" s="5">
        <v>1</v>
      </c>
      <c r="E12" s="5">
        <v>1</v>
      </c>
      <c r="F12" s="5">
        <v>1</v>
      </c>
      <c r="G12" s="5">
        <v>1</v>
      </c>
      <c r="H12" s="5">
        <f>VLOOKUP(B12,Equipes!$A$4:$W$13,9,FALSE)</f>
        <v>0</v>
      </c>
      <c r="I12" s="5">
        <f>Critérios!$E$18*(VLOOKUP(D12,Critérios!$E$3:$G$7,3,FALSE)+VLOOKUP(E12,Critérios!$E$3:$G$7,3,FALSE)+VLOOKUP(F12,Critérios!$E$3:$G$7,3,FALSE)+VLOOKUP(G12,Critérios!$E$3:$G$7,3,FALSE))/4+H12</f>
        <v>0</v>
      </c>
      <c r="J12" s="5" t="s">
        <v>70</v>
      </c>
      <c r="K12" s="5" t="s">
        <v>88</v>
      </c>
      <c r="L12" s="5">
        <v>1</v>
      </c>
      <c r="M12" s="5">
        <v>1</v>
      </c>
      <c r="N12" s="5">
        <v>1</v>
      </c>
      <c r="O12" s="5">
        <v>1</v>
      </c>
      <c r="P12" s="5">
        <f>VLOOKUP(J12,Equipes!$A$4:$W$13,16,FALSE)</f>
        <v>0</v>
      </c>
      <c r="Q12" s="5">
        <f>Critérios!$E$18*(VLOOKUP(L12,Critérios!$E$3:$G$7,3,FALSE)+VLOOKUP(M12,Critérios!$E$3:$G$7,3,FALSE)+VLOOKUP(N12,Critérios!$E$3:$G$7,3,FALSE)+VLOOKUP(O12,Critérios!$E$3:$G$7,3,FALSE))/4+P12</f>
        <v>0</v>
      </c>
      <c r="R12" s="5" t="s">
        <v>70</v>
      </c>
      <c r="S12" s="5" t="s">
        <v>88</v>
      </c>
      <c r="T12" s="5">
        <v>1</v>
      </c>
      <c r="U12" s="5">
        <v>1</v>
      </c>
      <c r="V12" s="5">
        <v>1</v>
      </c>
      <c r="W12" s="5">
        <v>1</v>
      </c>
      <c r="X12" s="5">
        <f>VLOOKUP(R12,Equipes!$A$4:$W$13,23,FALSE)</f>
        <v>0</v>
      </c>
      <c r="Y12" s="5">
        <f>Critérios!$E$18*(VLOOKUP(T12,Critérios!$E$3:$G$7,3,FALSE)+VLOOKUP(U12,Critérios!$E$3:$G$7,3,FALSE)+VLOOKUP(V12,Critérios!$E$3:$G$7,3,FALSE)+VLOOKUP(W12,Critérios!$E$3:$G$7,3,FALSE))/4+X12</f>
        <v>0</v>
      </c>
      <c r="Z12" s="5">
        <f t="shared" si="1"/>
        <v>0</v>
      </c>
    </row>
    <row r="13" spans="1:26">
      <c r="A13" s="5" t="s">
        <v>99</v>
      </c>
      <c r="B13" s="5" t="s">
        <v>72</v>
      </c>
      <c r="C13" s="5" t="s">
        <v>88</v>
      </c>
      <c r="D13" s="5">
        <v>1</v>
      </c>
      <c r="E13" s="5">
        <v>1</v>
      </c>
      <c r="F13" s="5">
        <v>1</v>
      </c>
      <c r="G13" s="5">
        <v>1</v>
      </c>
      <c r="H13" s="5">
        <f>VLOOKUP(B13,Equipes!$A$4:$W$13,9,FALSE)</f>
        <v>0</v>
      </c>
      <c r="I13" s="5">
        <f>Critérios!$E$18*(VLOOKUP(D13,Critérios!$E$3:$G$7,3,FALSE)+VLOOKUP(E13,Critérios!$E$3:$G$7,3,FALSE)+VLOOKUP(F13,Critérios!$E$3:$G$7,3,FALSE)+VLOOKUP(G13,Critérios!$E$3:$G$7,3,FALSE))/4+H13</f>
        <v>0</v>
      </c>
      <c r="J13" s="5" t="s">
        <v>70</v>
      </c>
      <c r="K13" s="5" t="s">
        <v>88</v>
      </c>
      <c r="L13" s="5">
        <v>1</v>
      </c>
      <c r="M13" s="5">
        <v>1</v>
      </c>
      <c r="N13" s="5">
        <v>1</v>
      </c>
      <c r="O13" s="5">
        <v>1</v>
      </c>
      <c r="P13" s="5">
        <f>VLOOKUP(J13,Equipes!$A$4:$W$13,16,FALSE)</f>
        <v>0</v>
      </c>
      <c r="Q13" s="5">
        <f>Critérios!$E$18*(VLOOKUP(L13,Critérios!$E$3:$G$7,3,FALSE)+VLOOKUP(M13,Critérios!$E$3:$G$7,3,FALSE)+VLOOKUP(N13,Critérios!$E$3:$G$7,3,FALSE)+VLOOKUP(O13,Critérios!$E$3:$G$7,3,FALSE))/4+P13</f>
        <v>0</v>
      </c>
      <c r="R13" s="5" t="s">
        <v>70</v>
      </c>
      <c r="S13" s="5" t="s">
        <v>88</v>
      </c>
      <c r="T13" s="5">
        <v>1</v>
      </c>
      <c r="U13" s="5">
        <v>1</v>
      </c>
      <c r="V13" s="5">
        <v>1</v>
      </c>
      <c r="W13" s="5">
        <v>1</v>
      </c>
      <c r="X13" s="5">
        <f>VLOOKUP(R13,Equipes!$A$4:$W$13,23,FALSE)</f>
        <v>0</v>
      </c>
      <c r="Y13" s="5">
        <f>Critérios!$E$18*(VLOOKUP(T13,Critérios!$E$3:$G$7,3,FALSE)+VLOOKUP(U13,Critérios!$E$3:$G$7,3,FALSE)+VLOOKUP(V13,Critérios!$E$3:$G$7,3,FALSE)+VLOOKUP(W13,Critérios!$E$3:$G$7,3,FALSE))/4+X13</f>
        <v>0</v>
      </c>
      <c r="Z13" s="5">
        <f t="shared" si="1"/>
        <v>0</v>
      </c>
    </row>
    <row r="14" spans="1:26">
      <c r="A14" s="5" t="s">
        <v>100</v>
      </c>
      <c r="B14" s="5" t="s">
        <v>72</v>
      </c>
      <c r="C14" s="5" t="s">
        <v>88</v>
      </c>
      <c r="D14" s="5">
        <v>1</v>
      </c>
      <c r="E14" s="5">
        <v>1</v>
      </c>
      <c r="F14" s="5">
        <v>1</v>
      </c>
      <c r="G14" s="5">
        <v>1</v>
      </c>
      <c r="H14" s="5">
        <f>VLOOKUP(B14,Equipes!$A$4:$W$13,9,FALSE)</f>
        <v>0</v>
      </c>
      <c r="I14" s="5">
        <f>Critérios!$E$18*(VLOOKUP(D14,Critérios!$E$3:$G$7,3,FALSE)+VLOOKUP(E14,Critérios!$E$3:$G$7,3,FALSE)+VLOOKUP(F14,Critérios!$E$3:$G$7,3,FALSE)+VLOOKUP(G14,Critérios!$E$3:$G$7,3,FALSE))/4+H14</f>
        <v>0</v>
      </c>
      <c r="J14" s="5" t="s">
        <v>70</v>
      </c>
      <c r="K14" s="5" t="s">
        <v>88</v>
      </c>
      <c r="L14" s="5">
        <v>1</v>
      </c>
      <c r="M14" s="5">
        <v>1</v>
      </c>
      <c r="N14" s="5">
        <v>1</v>
      </c>
      <c r="O14" s="5">
        <v>1</v>
      </c>
      <c r="P14" s="5">
        <f>VLOOKUP(J14,Equipes!$A$4:$W$13,16,FALSE)</f>
        <v>0</v>
      </c>
      <c r="Q14" s="5">
        <f>Critérios!$E$18*(VLOOKUP(L14,Critérios!$E$3:$G$7,3,FALSE)+VLOOKUP(M14,Critérios!$E$3:$G$7,3,FALSE)+VLOOKUP(N14,Critérios!$E$3:$G$7,3,FALSE)+VLOOKUP(O14,Critérios!$E$3:$G$7,3,FALSE))/4+P14</f>
        <v>0</v>
      </c>
      <c r="R14" s="5" t="s">
        <v>70</v>
      </c>
      <c r="S14" s="5" t="s">
        <v>88</v>
      </c>
      <c r="T14" s="5">
        <v>1</v>
      </c>
      <c r="U14" s="5">
        <v>1</v>
      </c>
      <c r="V14" s="5">
        <v>1</v>
      </c>
      <c r="W14" s="5">
        <v>1</v>
      </c>
      <c r="X14" s="5">
        <f>VLOOKUP(R14,Equipes!$A$4:$W$13,23,FALSE)</f>
        <v>0</v>
      </c>
      <c r="Y14" s="5">
        <f>Critérios!$E$18*(VLOOKUP(T14,Critérios!$E$3:$G$7,3,FALSE)+VLOOKUP(U14,Critérios!$E$3:$G$7,3,FALSE)+VLOOKUP(V14,Critérios!$E$3:$G$7,3,FALSE)+VLOOKUP(W14,Critérios!$E$3:$G$7,3,FALSE))/4+X14</f>
        <v>0</v>
      </c>
      <c r="Z14" s="5">
        <f t="shared" si="1"/>
        <v>0</v>
      </c>
    </row>
    <row r="15" spans="1:26">
      <c r="A15" s="5" t="s">
        <v>101</v>
      </c>
      <c r="B15" s="5" t="s">
        <v>72</v>
      </c>
      <c r="C15" s="5" t="s">
        <v>88</v>
      </c>
      <c r="D15" s="5">
        <v>1</v>
      </c>
      <c r="E15" s="5">
        <v>1</v>
      </c>
      <c r="F15" s="5">
        <v>1</v>
      </c>
      <c r="G15" s="5">
        <v>1</v>
      </c>
      <c r="H15" s="5">
        <f>VLOOKUP(B15,Equipes!$A$4:$W$13,9,FALSE)</f>
        <v>0</v>
      </c>
      <c r="I15" s="5">
        <f>Critérios!$E$18*(VLOOKUP(D15,Critérios!$E$3:$G$7,3,FALSE)+VLOOKUP(E15,Critérios!$E$3:$G$7,3,FALSE)+VLOOKUP(F15,Critérios!$E$3:$G$7,3,FALSE)+VLOOKUP(G15,Critérios!$E$3:$G$7,3,FALSE))/4+H15</f>
        <v>0</v>
      </c>
      <c r="J15" s="5" t="s">
        <v>70</v>
      </c>
      <c r="K15" s="5" t="s">
        <v>88</v>
      </c>
      <c r="L15" s="5">
        <v>1</v>
      </c>
      <c r="M15" s="5">
        <v>1</v>
      </c>
      <c r="N15" s="5">
        <v>1</v>
      </c>
      <c r="O15" s="5">
        <v>1</v>
      </c>
      <c r="P15" s="5">
        <f>VLOOKUP(J15,Equipes!$A$4:$W$13,16,FALSE)</f>
        <v>0</v>
      </c>
      <c r="Q15" s="5">
        <f>Critérios!$E$18*(VLOOKUP(L15,Critérios!$E$3:$G$7,3,FALSE)+VLOOKUP(M15,Critérios!$E$3:$G$7,3,FALSE)+VLOOKUP(N15,Critérios!$E$3:$G$7,3,FALSE)+VLOOKUP(O15,Critérios!$E$3:$G$7,3,FALSE))/4+P15</f>
        <v>0</v>
      </c>
      <c r="R15" s="5" t="s">
        <v>70</v>
      </c>
      <c r="S15" s="5" t="s">
        <v>88</v>
      </c>
      <c r="T15" s="5">
        <v>1</v>
      </c>
      <c r="U15" s="5">
        <v>1</v>
      </c>
      <c r="V15" s="5">
        <v>1</v>
      </c>
      <c r="W15" s="5">
        <v>1</v>
      </c>
      <c r="X15" s="5">
        <f>VLOOKUP(R15,Equipes!$A$4:$W$13,23,FALSE)</f>
        <v>0</v>
      </c>
      <c r="Y15" s="5">
        <f>Critérios!$E$18*(VLOOKUP(T15,Critérios!$E$3:$G$7,3,FALSE)+VLOOKUP(U15,Critérios!$E$3:$G$7,3,FALSE)+VLOOKUP(V15,Critérios!$E$3:$G$7,3,FALSE)+VLOOKUP(W15,Critérios!$E$3:$G$7,3,FALSE))/4+X15</f>
        <v>0</v>
      </c>
      <c r="Z15" s="5">
        <f t="shared" si="1"/>
        <v>0</v>
      </c>
    </row>
    <row r="16" spans="1:26">
      <c r="A16" s="5" t="s">
        <v>102</v>
      </c>
      <c r="B16" s="5" t="s">
        <v>72</v>
      </c>
      <c r="C16" s="5" t="s">
        <v>88</v>
      </c>
      <c r="D16" s="5">
        <v>1</v>
      </c>
      <c r="E16" s="5">
        <v>1</v>
      </c>
      <c r="F16" s="5">
        <v>1</v>
      </c>
      <c r="G16" s="5">
        <v>1</v>
      </c>
      <c r="H16" s="5">
        <f>VLOOKUP(B16,Equipes!$A$4:$W$13,9,FALSE)</f>
        <v>0</v>
      </c>
      <c r="I16" s="5">
        <f>Critérios!$E$18*(VLOOKUP(D16,Critérios!$E$3:$G$7,3,FALSE)+VLOOKUP(E16,Critérios!$E$3:$G$7,3,FALSE)+VLOOKUP(F16,Critérios!$E$3:$G$7,3,FALSE)+VLOOKUP(G16,Critérios!$E$3:$G$7,3,FALSE))/4+H16</f>
        <v>0</v>
      </c>
      <c r="J16" s="5" t="s">
        <v>70</v>
      </c>
      <c r="K16" s="5" t="s">
        <v>88</v>
      </c>
      <c r="L16" s="5">
        <v>1</v>
      </c>
      <c r="M16" s="5">
        <v>1</v>
      </c>
      <c r="N16" s="5">
        <v>1</v>
      </c>
      <c r="O16" s="5">
        <v>1</v>
      </c>
      <c r="P16" s="5">
        <f>VLOOKUP(J16,Equipes!$A$4:$W$13,16,FALSE)</f>
        <v>0</v>
      </c>
      <c r="Q16" s="5">
        <f>Critérios!$E$18*(VLOOKUP(L16,Critérios!$E$3:$G$7,3,FALSE)+VLOOKUP(M16,Critérios!$E$3:$G$7,3,FALSE)+VLOOKUP(N16,Critérios!$E$3:$G$7,3,FALSE)+VLOOKUP(O16,Critérios!$E$3:$G$7,3,FALSE))/4+P16</f>
        <v>0</v>
      </c>
      <c r="R16" s="5" t="s">
        <v>70</v>
      </c>
      <c r="S16" s="5" t="s">
        <v>88</v>
      </c>
      <c r="T16" s="5">
        <v>1</v>
      </c>
      <c r="U16" s="5">
        <v>1</v>
      </c>
      <c r="V16" s="5">
        <v>1</v>
      </c>
      <c r="W16" s="5">
        <v>1</v>
      </c>
      <c r="X16" s="5">
        <f>VLOOKUP(R16,Equipes!$A$4:$W$13,23,FALSE)</f>
        <v>0</v>
      </c>
      <c r="Y16" s="5">
        <f>Critérios!$E$18*(VLOOKUP(T16,Critérios!$E$3:$G$7,3,FALSE)+VLOOKUP(U16,Critérios!$E$3:$G$7,3,FALSE)+VLOOKUP(V16,Critérios!$E$3:$G$7,3,FALSE)+VLOOKUP(W16,Critérios!$E$3:$G$7,3,FALSE))/4+X16</f>
        <v>0</v>
      </c>
      <c r="Z16" s="5">
        <f t="shared" si="1"/>
        <v>0</v>
      </c>
    </row>
    <row r="17" spans="1:26">
      <c r="A17" s="5" t="s">
        <v>103</v>
      </c>
      <c r="B17" s="5" t="s">
        <v>73</v>
      </c>
      <c r="C17" s="5" t="s">
        <v>88</v>
      </c>
      <c r="D17" s="5">
        <v>1</v>
      </c>
      <c r="E17" s="5">
        <v>1</v>
      </c>
      <c r="F17" s="5">
        <v>1</v>
      </c>
      <c r="G17" s="5">
        <v>1</v>
      </c>
      <c r="H17" s="5">
        <f>VLOOKUP(B17,Equipes!$A$4:$W$13,9,FALSE)</f>
        <v>0</v>
      </c>
      <c r="I17" s="5">
        <f>Critérios!$E$18*(VLOOKUP(D17,Critérios!$E$3:$G$7,3,FALSE)+VLOOKUP(E17,Critérios!$E$3:$G$7,3,FALSE)+VLOOKUP(F17,Critérios!$E$3:$G$7,3,FALSE)+VLOOKUP(G17,Critérios!$E$3:$G$7,3,FALSE))/4+H17</f>
        <v>0</v>
      </c>
      <c r="J17" s="5" t="s">
        <v>70</v>
      </c>
      <c r="K17" s="5" t="s">
        <v>88</v>
      </c>
      <c r="L17" s="5">
        <v>1</v>
      </c>
      <c r="M17" s="5">
        <v>1</v>
      </c>
      <c r="N17" s="5">
        <v>1</v>
      </c>
      <c r="O17" s="5">
        <v>1</v>
      </c>
      <c r="P17" s="5">
        <f>VLOOKUP(J17,Equipes!$A$4:$W$13,16,FALSE)</f>
        <v>0</v>
      </c>
      <c r="Q17" s="5">
        <f>Critérios!$E$18*(VLOOKUP(L17,Critérios!$E$3:$G$7,3,FALSE)+VLOOKUP(M17,Critérios!$E$3:$G$7,3,FALSE)+VLOOKUP(N17,Critérios!$E$3:$G$7,3,FALSE)+VLOOKUP(O17,Critérios!$E$3:$G$7,3,FALSE))/4+P17</f>
        <v>0</v>
      </c>
      <c r="R17" s="5" t="s">
        <v>70</v>
      </c>
      <c r="S17" s="5" t="s">
        <v>88</v>
      </c>
      <c r="T17" s="5">
        <v>1</v>
      </c>
      <c r="U17" s="5">
        <v>1</v>
      </c>
      <c r="V17" s="5">
        <v>1</v>
      </c>
      <c r="W17" s="5">
        <v>1</v>
      </c>
      <c r="X17" s="5">
        <f>VLOOKUP(R17,Equipes!$A$4:$W$13,23,FALSE)</f>
        <v>0</v>
      </c>
      <c r="Y17" s="5">
        <f>Critérios!$E$18*(VLOOKUP(T17,Critérios!$E$3:$G$7,3,FALSE)+VLOOKUP(U17,Critérios!$E$3:$G$7,3,FALSE)+VLOOKUP(V17,Critérios!$E$3:$G$7,3,FALSE)+VLOOKUP(W17,Critérios!$E$3:$G$7,3,FALSE))/4+X17</f>
        <v>0</v>
      </c>
      <c r="Z17" s="5">
        <f t="shared" si="1"/>
        <v>0</v>
      </c>
    </row>
    <row r="18" spans="1:26">
      <c r="A18" s="5" t="s">
        <v>104</v>
      </c>
      <c r="B18" s="5" t="s">
        <v>73</v>
      </c>
      <c r="C18" s="5" t="s">
        <v>88</v>
      </c>
      <c r="D18" s="5">
        <v>1</v>
      </c>
      <c r="E18" s="5">
        <v>1</v>
      </c>
      <c r="F18" s="5">
        <v>1</v>
      </c>
      <c r="G18" s="5">
        <v>1</v>
      </c>
      <c r="H18" s="5">
        <f>VLOOKUP(B18,Equipes!$A$4:$W$13,9,FALSE)</f>
        <v>0</v>
      </c>
      <c r="I18" s="5">
        <f>Critérios!$E$18*(VLOOKUP(D18,Critérios!$E$3:$G$7,3,FALSE)+VLOOKUP(E18,Critérios!$E$3:$G$7,3,FALSE)+VLOOKUP(F18,Critérios!$E$3:$G$7,3,FALSE)+VLOOKUP(G18,Critérios!$E$3:$G$7,3,FALSE))/4+H18</f>
        <v>0</v>
      </c>
      <c r="J18" s="5" t="s">
        <v>70</v>
      </c>
      <c r="K18" s="5" t="s">
        <v>88</v>
      </c>
      <c r="L18" s="5">
        <v>1</v>
      </c>
      <c r="M18" s="5">
        <v>1</v>
      </c>
      <c r="N18" s="5">
        <v>1</v>
      </c>
      <c r="O18" s="5">
        <v>1</v>
      </c>
      <c r="P18" s="5">
        <f>VLOOKUP(J18,Equipes!$A$4:$W$13,16,FALSE)</f>
        <v>0</v>
      </c>
      <c r="Q18" s="5">
        <f>Critérios!$E$18*(VLOOKUP(L18,Critérios!$E$3:$G$7,3,FALSE)+VLOOKUP(M18,Critérios!$E$3:$G$7,3,FALSE)+VLOOKUP(N18,Critérios!$E$3:$G$7,3,FALSE)+VLOOKUP(O18,Critérios!$E$3:$G$7,3,FALSE))/4+P18</f>
        <v>0</v>
      </c>
      <c r="R18" s="5" t="s">
        <v>70</v>
      </c>
      <c r="S18" s="5" t="s">
        <v>88</v>
      </c>
      <c r="T18" s="5">
        <v>1</v>
      </c>
      <c r="U18" s="5">
        <v>1</v>
      </c>
      <c r="V18" s="5">
        <v>1</v>
      </c>
      <c r="W18" s="5">
        <v>1</v>
      </c>
      <c r="X18" s="5">
        <f>VLOOKUP(R18,Equipes!$A$4:$W$13,23,FALSE)</f>
        <v>0</v>
      </c>
      <c r="Y18" s="5">
        <f>Critérios!$E$18*(VLOOKUP(T18,Critérios!$E$3:$G$7,3,FALSE)+VLOOKUP(U18,Critérios!$E$3:$G$7,3,FALSE)+VLOOKUP(V18,Critérios!$E$3:$G$7,3,FALSE)+VLOOKUP(W18,Critérios!$E$3:$G$7,3,FALSE))/4+X18</f>
        <v>0</v>
      </c>
      <c r="Z18" s="5">
        <f t="shared" si="1"/>
        <v>0</v>
      </c>
    </row>
    <row r="19" spans="1:26">
      <c r="A19" s="5" t="s">
        <v>105</v>
      </c>
      <c r="B19" s="5" t="s">
        <v>73</v>
      </c>
      <c r="C19" s="5" t="s">
        <v>88</v>
      </c>
      <c r="D19" s="5">
        <v>1</v>
      </c>
      <c r="E19" s="5">
        <v>1</v>
      </c>
      <c r="F19" s="5">
        <v>1</v>
      </c>
      <c r="G19" s="5">
        <v>1</v>
      </c>
      <c r="H19" s="5">
        <f>VLOOKUP(B19,Equipes!$A$4:$W$13,9,FALSE)</f>
        <v>0</v>
      </c>
      <c r="I19" s="5">
        <f>Critérios!$E$18*(VLOOKUP(D19,Critérios!$E$3:$G$7,3,FALSE)+VLOOKUP(E19,Critérios!$E$3:$G$7,3,FALSE)+VLOOKUP(F19,Critérios!$E$3:$G$7,3,FALSE)+VLOOKUP(G19,Critérios!$E$3:$G$7,3,FALSE))/4+H19</f>
        <v>0</v>
      </c>
      <c r="J19" s="5" t="s">
        <v>70</v>
      </c>
      <c r="K19" s="5" t="s">
        <v>88</v>
      </c>
      <c r="L19" s="5">
        <v>1</v>
      </c>
      <c r="M19" s="5">
        <v>1</v>
      </c>
      <c r="N19" s="5">
        <v>1</v>
      </c>
      <c r="O19" s="5">
        <v>1</v>
      </c>
      <c r="P19" s="5">
        <f>VLOOKUP(J19,Equipes!$A$4:$W$13,16,FALSE)</f>
        <v>0</v>
      </c>
      <c r="Q19" s="5">
        <f>Critérios!$E$18*(VLOOKUP(L19,Critérios!$E$3:$G$7,3,FALSE)+VLOOKUP(M19,Critérios!$E$3:$G$7,3,FALSE)+VLOOKUP(N19,Critérios!$E$3:$G$7,3,FALSE)+VLOOKUP(O19,Critérios!$E$3:$G$7,3,FALSE))/4+P19</f>
        <v>0</v>
      </c>
      <c r="R19" s="5" t="s">
        <v>70</v>
      </c>
      <c r="S19" s="5" t="s">
        <v>88</v>
      </c>
      <c r="T19" s="5">
        <v>1</v>
      </c>
      <c r="U19" s="5">
        <v>1</v>
      </c>
      <c r="V19" s="5">
        <v>1</v>
      </c>
      <c r="W19" s="5">
        <v>1</v>
      </c>
      <c r="X19" s="5">
        <f>VLOOKUP(R19,Equipes!$A$4:$W$13,23,FALSE)</f>
        <v>0</v>
      </c>
      <c r="Y19" s="5">
        <f>Critérios!$E$18*(VLOOKUP(T19,Critérios!$E$3:$G$7,3,FALSE)+VLOOKUP(U19,Critérios!$E$3:$G$7,3,FALSE)+VLOOKUP(V19,Critérios!$E$3:$G$7,3,FALSE)+VLOOKUP(W19,Critérios!$E$3:$G$7,3,FALSE))/4+X19</f>
        <v>0</v>
      </c>
      <c r="Z19" s="5">
        <f t="shared" si="1"/>
        <v>0</v>
      </c>
    </row>
    <row r="20" spans="1:26">
      <c r="A20" s="5" t="s">
        <v>106</v>
      </c>
      <c r="B20" s="5" t="s">
        <v>73</v>
      </c>
      <c r="C20" s="5" t="s">
        <v>88</v>
      </c>
      <c r="D20" s="5">
        <v>1</v>
      </c>
      <c r="E20" s="5">
        <v>1</v>
      </c>
      <c r="F20" s="5">
        <v>1</v>
      </c>
      <c r="G20" s="5">
        <v>1</v>
      </c>
      <c r="H20" s="5">
        <f>VLOOKUP(B20,Equipes!$A$4:$W$13,9,FALSE)</f>
        <v>0</v>
      </c>
      <c r="I20" s="5">
        <f>Critérios!$E$18*(VLOOKUP(D20,Critérios!$E$3:$G$7,3,FALSE)+VLOOKUP(E20,Critérios!$E$3:$G$7,3,FALSE)+VLOOKUP(F20,Critérios!$E$3:$G$7,3,FALSE)+VLOOKUP(G20,Critérios!$E$3:$G$7,3,FALSE))/4+H20</f>
        <v>0</v>
      </c>
      <c r="J20" s="5" t="s">
        <v>70</v>
      </c>
      <c r="K20" s="5" t="s">
        <v>88</v>
      </c>
      <c r="L20" s="5">
        <v>1</v>
      </c>
      <c r="M20" s="5">
        <v>1</v>
      </c>
      <c r="N20" s="5">
        <v>1</v>
      </c>
      <c r="O20" s="5">
        <v>1</v>
      </c>
      <c r="P20" s="5">
        <f>VLOOKUP(J20,Equipes!$A$4:$W$13,16,FALSE)</f>
        <v>0</v>
      </c>
      <c r="Q20" s="5">
        <f>Critérios!$E$18*(VLOOKUP(L20,Critérios!$E$3:$G$7,3,FALSE)+VLOOKUP(M20,Critérios!$E$3:$G$7,3,FALSE)+VLOOKUP(N20,Critérios!$E$3:$G$7,3,FALSE)+VLOOKUP(O20,Critérios!$E$3:$G$7,3,FALSE))/4+P20</f>
        <v>0</v>
      </c>
      <c r="R20" s="5" t="s">
        <v>70</v>
      </c>
      <c r="S20" s="5" t="s">
        <v>88</v>
      </c>
      <c r="T20" s="5">
        <v>1</v>
      </c>
      <c r="U20" s="5">
        <v>1</v>
      </c>
      <c r="V20" s="5">
        <v>1</v>
      </c>
      <c r="W20" s="5">
        <v>1</v>
      </c>
      <c r="X20" s="5">
        <f>VLOOKUP(R20,Equipes!$A$4:$W$13,23,FALSE)</f>
        <v>0</v>
      </c>
      <c r="Y20" s="5">
        <f>Critérios!$E$18*(VLOOKUP(T20,Critérios!$E$3:$G$7,3,FALSE)+VLOOKUP(U20,Critérios!$E$3:$G$7,3,FALSE)+VLOOKUP(V20,Critérios!$E$3:$G$7,3,FALSE)+VLOOKUP(W20,Critérios!$E$3:$G$7,3,FALSE))/4+X20</f>
        <v>0</v>
      </c>
      <c r="Z20" s="5">
        <f t="shared" si="1"/>
        <v>0</v>
      </c>
    </row>
    <row r="21" spans="1:26" ht="15.75" customHeight="1">
      <c r="A21" s="5" t="s">
        <v>107</v>
      </c>
      <c r="B21" s="5" t="s">
        <v>73</v>
      </c>
      <c r="C21" s="5" t="s">
        <v>88</v>
      </c>
      <c r="D21" s="5">
        <v>1</v>
      </c>
      <c r="E21" s="5">
        <v>1</v>
      </c>
      <c r="F21" s="5">
        <v>1</v>
      </c>
      <c r="G21" s="5">
        <v>1</v>
      </c>
      <c r="H21" s="5">
        <f>VLOOKUP(B21,Equipes!$A$4:$W$13,9,FALSE)</f>
        <v>0</v>
      </c>
      <c r="I21" s="5">
        <f>Critérios!$E$18*(VLOOKUP(D21,Critérios!$E$3:$G$7,3,FALSE)+VLOOKUP(E21,Critérios!$E$3:$G$7,3,FALSE)+VLOOKUP(F21,Critérios!$E$3:$G$7,3,FALSE)+VLOOKUP(G21,Critérios!$E$3:$G$7,3,FALSE))/4+H21</f>
        <v>0</v>
      </c>
      <c r="J21" s="5" t="s">
        <v>70</v>
      </c>
      <c r="K21" s="5" t="s">
        <v>88</v>
      </c>
      <c r="L21" s="5">
        <v>1</v>
      </c>
      <c r="M21" s="5">
        <v>1</v>
      </c>
      <c r="N21" s="5">
        <v>1</v>
      </c>
      <c r="O21" s="5">
        <v>1</v>
      </c>
      <c r="P21" s="5">
        <f>VLOOKUP(J21,Equipes!$A$4:$W$13,16,FALSE)</f>
        <v>0</v>
      </c>
      <c r="Q21" s="5">
        <f>Critérios!$E$18*(VLOOKUP(L21,Critérios!$E$3:$G$7,3,FALSE)+VLOOKUP(M21,Critérios!$E$3:$G$7,3,FALSE)+VLOOKUP(N21,Critérios!$E$3:$G$7,3,FALSE)+VLOOKUP(O21,Critérios!$E$3:$G$7,3,FALSE))/4+P21</f>
        <v>0</v>
      </c>
      <c r="R21" s="5" t="s">
        <v>70</v>
      </c>
      <c r="S21" s="5" t="s">
        <v>88</v>
      </c>
      <c r="T21" s="5">
        <v>1</v>
      </c>
      <c r="U21" s="5">
        <v>1</v>
      </c>
      <c r="V21" s="5">
        <v>1</v>
      </c>
      <c r="W21" s="5">
        <v>1</v>
      </c>
      <c r="X21" s="5">
        <f>VLOOKUP(R21,Equipes!$A$4:$W$13,23,FALSE)</f>
        <v>0</v>
      </c>
      <c r="Y21" s="5">
        <f>Critérios!$E$18*(VLOOKUP(T21,Critérios!$E$3:$G$7,3,FALSE)+VLOOKUP(U21,Critérios!$E$3:$G$7,3,FALSE)+VLOOKUP(V21,Critérios!$E$3:$G$7,3,FALSE)+VLOOKUP(W21,Critérios!$E$3:$G$7,3,FALSE))/4+X21</f>
        <v>0</v>
      </c>
      <c r="Z21" s="5">
        <f t="shared" si="1"/>
        <v>0</v>
      </c>
    </row>
    <row r="22" spans="1:26" ht="15.75" customHeight="1">
      <c r="A22" s="5" t="s">
        <v>108</v>
      </c>
      <c r="B22" s="5" t="s">
        <v>73</v>
      </c>
      <c r="C22" s="5" t="s">
        <v>88</v>
      </c>
      <c r="D22" s="5">
        <v>1</v>
      </c>
      <c r="E22" s="5">
        <v>1</v>
      </c>
      <c r="F22" s="5">
        <v>1</v>
      </c>
      <c r="G22" s="5">
        <v>1</v>
      </c>
      <c r="H22" s="5">
        <f>VLOOKUP(B22,Equipes!$A$4:$W$13,9,FALSE)</f>
        <v>0</v>
      </c>
      <c r="I22" s="5">
        <f>Critérios!$E$18*(VLOOKUP(D22,Critérios!$E$3:$G$7,3,FALSE)+VLOOKUP(E22,Critérios!$E$3:$G$7,3,FALSE)+VLOOKUP(F22,Critérios!$E$3:$G$7,3,FALSE)+VLOOKUP(G22,Critérios!$E$3:$G$7,3,FALSE))/4+H22</f>
        <v>0</v>
      </c>
      <c r="J22" s="5" t="s">
        <v>70</v>
      </c>
      <c r="K22" s="5" t="s">
        <v>88</v>
      </c>
      <c r="L22" s="5">
        <v>1</v>
      </c>
      <c r="M22" s="5">
        <v>1</v>
      </c>
      <c r="N22" s="5">
        <v>1</v>
      </c>
      <c r="O22" s="5">
        <v>1</v>
      </c>
      <c r="P22" s="5">
        <f>VLOOKUP(J22,Equipes!$A$4:$W$13,16,FALSE)</f>
        <v>0</v>
      </c>
      <c r="Q22" s="5">
        <f>Critérios!$E$18*(VLOOKUP(L22,Critérios!$E$3:$G$7,3,FALSE)+VLOOKUP(M22,Critérios!$E$3:$G$7,3,FALSE)+VLOOKUP(N22,Critérios!$E$3:$G$7,3,FALSE)+VLOOKUP(O22,Critérios!$E$3:$G$7,3,FALSE))/4+P22</f>
        <v>0</v>
      </c>
      <c r="R22" s="5" t="s">
        <v>70</v>
      </c>
      <c r="S22" s="5" t="s">
        <v>88</v>
      </c>
      <c r="T22" s="5">
        <v>1</v>
      </c>
      <c r="U22" s="5">
        <v>1</v>
      </c>
      <c r="V22" s="5">
        <v>1</v>
      </c>
      <c r="W22" s="5">
        <v>1</v>
      </c>
      <c r="X22" s="5">
        <f>VLOOKUP(R22,Equipes!$A$4:$W$13,23,FALSE)</f>
        <v>0</v>
      </c>
      <c r="Y22" s="5">
        <f>Critérios!$E$18*(VLOOKUP(T22,Critérios!$E$3:$G$7,3,FALSE)+VLOOKUP(U22,Critérios!$E$3:$G$7,3,FALSE)+VLOOKUP(V22,Critérios!$E$3:$G$7,3,FALSE)+VLOOKUP(W22,Critérios!$E$3:$G$7,3,FALSE))/4+X22</f>
        <v>0</v>
      </c>
      <c r="Z22" s="5">
        <f t="shared" si="1"/>
        <v>0</v>
      </c>
    </row>
    <row r="23" spans="1:26" ht="15.75" customHeight="1">
      <c r="A23" s="5" t="s">
        <v>109</v>
      </c>
      <c r="B23" s="5" t="s">
        <v>74</v>
      </c>
      <c r="C23" s="5" t="s">
        <v>88</v>
      </c>
      <c r="D23" s="5">
        <v>1</v>
      </c>
      <c r="E23" s="5">
        <v>1</v>
      </c>
      <c r="F23" s="5">
        <v>1</v>
      </c>
      <c r="G23" s="5">
        <v>1</v>
      </c>
      <c r="H23" s="5">
        <f>VLOOKUP(B23,Equipes!$A$4:$W$13,9,FALSE)</f>
        <v>5.0999999999999996</v>
      </c>
      <c r="I23" s="5">
        <f>Critérios!$E$18*(VLOOKUP(D23,Critérios!$E$3:$G$7,3,FALSE)+VLOOKUP(E23,Critérios!$E$3:$G$7,3,FALSE)+VLOOKUP(F23,Critérios!$E$3:$G$7,3,FALSE)+VLOOKUP(G23,Critérios!$E$3:$G$7,3,FALSE))/4+H23</f>
        <v>5.0999999999999996</v>
      </c>
      <c r="J23" s="5" t="s">
        <v>70</v>
      </c>
      <c r="K23" s="5" t="s">
        <v>88</v>
      </c>
      <c r="L23" s="5">
        <v>1</v>
      </c>
      <c r="M23" s="5">
        <v>1</v>
      </c>
      <c r="N23" s="5">
        <v>1</v>
      </c>
      <c r="O23" s="5">
        <v>1</v>
      </c>
      <c r="P23" s="5">
        <f>VLOOKUP(J23,Equipes!$A$4:$W$13,16,FALSE)</f>
        <v>0</v>
      </c>
      <c r="Q23" s="5">
        <f>Critérios!$E$18*(VLOOKUP(L23,Critérios!$E$3:$G$7,3,FALSE)+VLOOKUP(M23,Critérios!$E$3:$G$7,3,FALSE)+VLOOKUP(N23,Critérios!$E$3:$G$7,3,FALSE)+VLOOKUP(O23,Critérios!$E$3:$G$7,3,FALSE))/4+P23</f>
        <v>0</v>
      </c>
      <c r="R23" s="5" t="s">
        <v>70</v>
      </c>
      <c r="S23" s="5" t="s">
        <v>88</v>
      </c>
      <c r="T23" s="5">
        <v>1</v>
      </c>
      <c r="U23" s="5">
        <v>1</v>
      </c>
      <c r="V23" s="5">
        <v>1</v>
      </c>
      <c r="W23" s="5">
        <v>1</v>
      </c>
      <c r="X23" s="5">
        <f>VLOOKUP(R23,Equipes!$A$4:$W$13,23,FALSE)</f>
        <v>0</v>
      </c>
      <c r="Y23" s="5">
        <f>Critérios!$E$18*(VLOOKUP(T23,Critérios!$E$3:$G$7,3,FALSE)+VLOOKUP(U23,Critérios!$E$3:$G$7,3,FALSE)+VLOOKUP(V23,Critérios!$E$3:$G$7,3,FALSE)+VLOOKUP(W23,Critérios!$E$3:$G$7,3,FALSE))/4+X23</f>
        <v>0</v>
      </c>
      <c r="Z23" s="5">
        <f t="shared" si="1"/>
        <v>1.7</v>
      </c>
    </row>
    <row r="24" spans="1:26" ht="15.75" customHeight="1">
      <c r="A24" s="5" t="s">
        <v>110</v>
      </c>
      <c r="B24" s="5" t="s">
        <v>74</v>
      </c>
      <c r="C24" s="5" t="s">
        <v>88</v>
      </c>
      <c r="D24" s="5">
        <v>1</v>
      </c>
      <c r="E24" s="5">
        <v>1</v>
      </c>
      <c r="F24" s="5">
        <v>1</v>
      </c>
      <c r="G24" s="5">
        <v>1</v>
      </c>
      <c r="H24" s="5">
        <f>VLOOKUP(B24,Equipes!$A$4:$W$13,9,FALSE)</f>
        <v>5.0999999999999996</v>
      </c>
      <c r="I24" s="5">
        <f>Critérios!$E$18*(VLOOKUP(D24,Critérios!$E$3:$G$7,3,FALSE)+VLOOKUP(E24,Critérios!$E$3:$G$7,3,FALSE)+VLOOKUP(F24,Critérios!$E$3:$G$7,3,FALSE)+VLOOKUP(G24,Critérios!$E$3:$G$7,3,FALSE))/4+H24</f>
        <v>5.0999999999999996</v>
      </c>
      <c r="J24" s="5" t="s">
        <v>70</v>
      </c>
      <c r="K24" s="5" t="s">
        <v>88</v>
      </c>
      <c r="L24" s="5">
        <v>1</v>
      </c>
      <c r="M24" s="5">
        <v>1</v>
      </c>
      <c r="N24" s="5">
        <v>1</v>
      </c>
      <c r="O24" s="5">
        <v>1</v>
      </c>
      <c r="P24" s="5">
        <f>VLOOKUP(J24,Equipes!$A$4:$W$13,16,FALSE)</f>
        <v>0</v>
      </c>
      <c r="Q24" s="5">
        <f>Critérios!$E$18*(VLOOKUP(L24,Critérios!$E$3:$G$7,3,FALSE)+VLOOKUP(M24,Critérios!$E$3:$G$7,3,FALSE)+VLOOKUP(N24,Critérios!$E$3:$G$7,3,FALSE)+VLOOKUP(O24,Critérios!$E$3:$G$7,3,FALSE))/4+P24</f>
        <v>0</v>
      </c>
      <c r="R24" s="5" t="s">
        <v>70</v>
      </c>
      <c r="S24" s="5" t="s">
        <v>88</v>
      </c>
      <c r="T24" s="5">
        <v>1</v>
      </c>
      <c r="U24" s="5">
        <v>1</v>
      </c>
      <c r="V24" s="5">
        <v>1</v>
      </c>
      <c r="W24" s="5">
        <v>1</v>
      </c>
      <c r="X24" s="5">
        <f>VLOOKUP(R24,Equipes!$A$4:$W$13,23,FALSE)</f>
        <v>0</v>
      </c>
      <c r="Y24" s="5">
        <f>Critérios!$E$18*(VLOOKUP(T24,Critérios!$E$3:$G$7,3,FALSE)+VLOOKUP(U24,Critérios!$E$3:$G$7,3,FALSE)+VLOOKUP(V24,Critérios!$E$3:$G$7,3,FALSE)+VLOOKUP(W24,Critérios!$E$3:$G$7,3,FALSE))/4+X24</f>
        <v>0</v>
      </c>
      <c r="Z24" s="5">
        <f t="shared" si="1"/>
        <v>1.7</v>
      </c>
    </row>
    <row r="25" spans="1:26" ht="15.75" customHeight="1">
      <c r="A25" s="5" t="s">
        <v>111</v>
      </c>
      <c r="B25" s="5" t="s">
        <v>74</v>
      </c>
      <c r="C25" s="5" t="s">
        <v>88</v>
      </c>
      <c r="D25" s="5">
        <v>1</v>
      </c>
      <c r="E25" s="5">
        <v>1</v>
      </c>
      <c r="F25" s="5">
        <v>1</v>
      </c>
      <c r="G25" s="5">
        <v>1</v>
      </c>
      <c r="H25" s="5">
        <f>VLOOKUP(B25,Equipes!$A$4:$W$13,9,FALSE)</f>
        <v>5.0999999999999996</v>
      </c>
      <c r="I25" s="5">
        <f>Critérios!$E$18*(VLOOKUP(D25,Critérios!$E$3:$G$7,3,FALSE)+VLOOKUP(E25,Critérios!$E$3:$G$7,3,FALSE)+VLOOKUP(F25,Critérios!$E$3:$G$7,3,FALSE)+VLOOKUP(G25,Critérios!$E$3:$G$7,3,FALSE))/4+H25</f>
        <v>5.0999999999999996</v>
      </c>
      <c r="J25" s="5" t="s">
        <v>70</v>
      </c>
      <c r="K25" s="5" t="s">
        <v>88</v>
      </c>
      <c r="L25" s="5">
        <v>1</v>
      </c>
      <c r="M25" s="5">
        <v>1</v>
      </c>
      <c r="N25" s="5">
        <v>1</v>
      </c>
      <c r="O25" s="5">
        <v>1</v>
      </c>
      <c r="P25" s="5">
        <f>VLOOKUP(J25,Equipes!$A$4:$W$13,16,FALSE)</f>
        <v>0</v>
      </c>
      <c r="Q25" s="5">
        <f>Critérios!$E$18*(VLOOKUP(L25,Critérios!$E$3:$G$7,3,FALSE)+VLOOKUP(M25,Critérios!$E$3:$G$7,3,FALSE)+VLOOKUP(N25,Critérios!$E$3:$G$7,3,FALSE)+VLOOKUP(O25,Critérios!$E$3:$G$7,3,FALSE))/4+P25</f>
        <v>0</v>
      </c>
      <c r="R25" s="5" t="s">
        <v>70</v>
      </c>
      <c r="S25" s="5" t="s">
        <v>88</v>
      </c>
      <c r="T25" s="5">
        <v>1</v>
      </c>
      <c r="U25" s="5">
        <v>1</v>
      </c>
      <c r="V25" s="5">
        <v>1</v>
      </c>
      <c r="W25" s="5">
        <v>1</v>
      </c>
      <c r="X25" s="5">
        <f>VLOOKUP(R25,Equipes!$A$4:$W$13,23,FALSE)</f>
        <v>0</v>
      </c>
      <c r="Y25" s="5">
        <f>Critérios!$E$18*(VLOOKUP(T25,Critérios!$E$3:$G$7,3,FALSE)+VLOOKUP(U25,Critérios!$E$3:$G$7,3,FALSE)+VLOOKUP(V25,Critérios!$E$3:$G$7,3,FALSE)+VLOOKUP(W25,Critérios!$E$3:$G$7,3,FALSE))/4+X25</f>
        <v>0</v>
      </c>
      <c r="Z25" s="5">
        <f t="shared" si="1"/>
        <v>1.7</v>
      </c>
    </row>
    <row r="26" spans="1:26" ht="15.75" customHeight="1">
      <c r="A26" s="5" t="s">
        <v>112</v>
      </c>
      <c r="B26" s="5" t="s">
        <v>74</v>
      </c>
      <c r="C26" s="5" t="s">
        <v>88</v>
      </c>
      <c r="D26" s="5">
        <v>1</v>
      </c>
      <c r="E26" s="5">
        <v>1</v>
      </c>
      <c r="F26" s="5">
        <v>1</v>
      </c>
      <c r="G26" s="5">
        <v>1</v>
      </c>
      <c r="H26" s="5">
        <f>VLOOKUP(B26,Equipes!$A$4:$W$13,9,FALSE)</f>
        <v>5.0999999999999996</v>
      </c>
      <c r="I26" s="5">
        <f>Critérios!$E$18*(VLOOKUP(D26,Critérios!$E$3:$G$7,3,FALSE)+VLOOKUP(E26,Critérios!$E$3:$G$7,3,FALSE)+VLOOKUP(F26,Critérios!$E$3:$G$7,3,FALSE)+VLOOKUP(G26,Critérios!$E$3:$G$7,3,FALSE))/4+H26</f>
        <v>5.0999999999999996</v>
      </c>
      <c r="J26" s="5" t="s">
        <v>70</v>
      </c>
      <c r="K26" s="5" t="s">
        <v>88</v>
      </c>
      <c r="L26" s="5">
        <v>1</v>
      </c>
      <c r="M26" s="5">
        <v>1</v>
      </c>
      <c r="N26" s="5">
        <v>1</v>
      </c>
      <c r="O26" s="5">
        <v>1</v>
      </c>
      <c r="P26" s="5">
        <f>VLOOKUP(J26,Equipes!$A$4:$W$13,16,FALSE)</f>
        <v>0</v>
      </c>
      <c r="Q26" s="5">
        <f>Critérios!$E$18*(VLOOKUP(L26,Critérios!$E$3:$G$7,3,FALSE)+VLOOKUP(M26,Critérios!$E$3:$G$7,3,FALSE)+VLOOKUP(N26,Critérios!$E$3:$G$7,3,FALSE)+VLOOKUP(O26,Critérios!$E$3:$G$7,3,FALSE))/4+P26</f>
        <v>0</v>
      </c>
      <c r="R26" s="5" t="s">
        <v>70</v>
      </c>
      <c r="S26" s="5" t="s">
        <v>88</v>
      </c>
      <c r="T26" s="5">
        <v>1</v>
      </c>
      <c r="U26" s="5">
        <v>1</v>
      </c>
      <c r="V26" s="5">
        <v>1</v>
      </c>
      <c r="W26" s="5">
        <v>1</v>
      </c>
      <c r="X26" s="5">
        <f>VLOOKUP(R26,Equipes!$A$4:$W$13,23,FALSE)</f>
        <v>0</v>
      </c>
      <c r="Y26" s="5">
        <f>Critérios!$E$18*(VLOOKUP(T26,Critérios!$E$3:$G$7,3,FALSE)+VLOOKUP(U26,Critérios!$E$3:$G$7,3,FALSE)+VLOOKUP(V26,Critérios!$E$3:$G$7,3,FALSE)+VLOOKUP(W26,Critérios!$E$3:$G$7,3,FALSE))/4+X26</f>
        <v>0</v>
      </c>
      <c r="Z26" s="5">
        <f t="shared" si="1"/>
        <v>1.7</v>
      </c>
    </row>
    <row r="27" spans="1:26" ht="15.75" customHeight="1">
      <c r="A27" s="5" t="s">
        <v>113</v>
      </c>
      <c r="B27" s="5" t="s">
        <v>74</v>
      </c>
      <c r="C27" s="5" t="s">
        <v>88</v>
      </c>
      <c r="D27" s="5">
        <v>1</v>
      </c>
      <c r="E27" s="5">
        <v>1</v>
      </c>
      <c r="F27" s="5">
        <v>1</v>
      </c>
      <c r="G27" s="5">
        <v>1</v>
      </c>
      <c r="H27" s="5">
        <f>VLOOKUP(B27,Equipes!$A$4:$W$13,9,FALSE)</f>
        <v>5.0999999999999996</v>
      </c>
      <c r="I27" s="5">
        <f>Critérios!$E$18*(VLOOKUP(D27,Critérios!$E$3:$G$7,3,FALSE)+VLOOKUP(E27,Critérios!$E$3:$G$7,3,FALSE)+VLOOKUP(F27,Critérios!$E$3:$G$7,3,FALSE)+VLOOKUP(G27,Critérios!$E$3:$G$7,3,FALSE))/4+H27</f>
        <v>5.0999999999999996</v>
      </c>
      <c r="J27" s="5" t="s">
        <v>70</v>
      </c>
      <c r="K27" s="5" t="s">
        <v>88</v>
      </c>
      <c r="L27" s="5">
        <v>1</v>
      </c>
      <c r="M27" s="5">
        <v>1</v>
      </c>
      <c r="N27" s="5">
        <v>1</v>
      </c>
      <c r="O27" s="5">
        <v>1</v>
      </c>
      <c r="P27" s="5">
        <f>VLOOKUP(J27,Equipes!$A$4:$W$13,16,FALSE)</f>
        <v>0</v>
      </c>
      <c r="Q27" s="5">
        <f>Critérios!$E$18*(VLOOKUP(L27,Critérios!$E$3:$G$7,3,FALSE)+VLOOKUP(M27,Critérios!$E$3:$G$7,3,FALSE)+VLOOKUP(N27,Critérios!$E$3:$G$7,3,FALSE)+VLOOKUP(O27,Critérios!$E$3:$G$7,3,FALSE))/4+P27</f>
        <v>0</v>
      </c>
      <c r="R27" s="5" t="s">
        <v>70</v>
      </c>
      <c r="S27" s="5" t="s">
        <v>88</v>
      </c>
      <c r="T27" s="5">
        <v>1</v>
      </c>
      <c r="U27" s="5">
        <v>1</v>
      </c>
      <c r="V27" s="5">
        <v>1</v>
      </c>
      <c r="W27" s="5">
        <v>1</v>
      </c>
      <c r="X27" s="5">
        <f>VLOOKUP(R27,Equipes!$A$4:$W$13,23,FALSE)</f>
        <v>0</v>
      </c>
      <c r="Y27" s="5">
        <f>Critérios!$E$18*(VLOOKUP(T27,Critérios!$E$3:$G$7,3,FALSE)+VLOOKUP(U27,Critérios!$E$3:$G$7,3,FALSE)+VLOOKUP(V27,Critérios!$E$3:$G$7,3,FALSE)+VLOOKUP(W27,Critérios!$E$3:$G$7,3,FALSE))/4+X27</f>
        <v>0</v>
      </c>
      <c r="Z27" s="5">
        <f t="shared" si="1"/>
        <v>1.7</v>
      </c>
    </row>
    <row r="28" spans="1:26" ht="15.75" customHeight="1">
      <c r="A28" s="5" t="s">
        <v>114</v>
      </c>
      <c r="B28" s="5" t="s">
        <v>74</v>
      </c>
      <c r="C28" s="5" t="s">
        <v>88</v>
      </c>
      <c r="D28" s="5">
        <v>1</v>
      </c>
      <c r="E28" s="5">
        <v>1</v>
      </c>
      <c r="F28" s="5">
        <v>1</v>
      </c>
      <c r="G28" s="5">
        <v>1</v>
      </c>
      <c r="H28" s="5">
        <f>VLOOKUP(B28,Equipes!$A$4:$W$13,9,FALSE)</f>
        <v>5.0999999999999996</v>
      </c>
      <c r="I28" s="5">
        <f>Critérios!$E$18*(VLOOKUP(D28,Critérios!$E$3:$G$7,3,FALSE)+VLOOKUP(E28,Critérios!$E$3:$G$7,3,FALSE)+VLOOKUP(F28,Critérios!$E$3:$G$7,3,FALSE)+VLOOKUP(G28,Critérios!$E$3:$G$7,3,FALSE))/4+H28</f>
        <v>5.0999999999999996</v>
      </c>
      <c r="J28" s="5" t="s">
        <v>70</v>
      </c>
      <c r="K28" s="5" t="s">
        <v>88</v>
      </c>
      <c r="L28" s="5">
        <v>1</v>
      </c>
      <c r="M28" s="5">
        <v>1</v>
      </c>
      <c r="N28" s="5">
        <v>1</v>
      </c>
      <c r="O28" s="5">
        <v>1</v>
      </c>
      <c r="P28" s="5">
        <f>VLOOKUP(J28,Equipes!$A$4:$W$13,16,FALSE)</f>
        <v>0</v>
      </c>
      <c r="Q28" s="5">
        <f>Critérios!$E$18*(VLOOKUP(L28,Critérios!$E$3:$G$7,3,FALSE)+VLOOKUP(M28,Critérios!$E$3:$G$7,3,FALSE)+VLOOKUP(N28,Critérios!$E$3:$G$7,3,FALSE)+VLOOKUP(O28,Critérios!$E$3:$G$7,3,FALSE))/4+P28</f>
        <v>0</v>
      </c>
      <c r="R28" s="5" t="s">
        <v>70</v>
      </c>
      <c r="S28" s="5" t="s">
        <v>88</v>
      </c>
      <c r="T28" s="5">
        <v>1</v>
      </c>
      <c r="U28" s="5">
        <v>1</v>
      </c>
      <c r="V28" s="5">
        <v>1</v>
      </c>
      <c r="W28" s="5">
        <v>1</v>
      </c>
      <c r="X28" s="5">
        <f>VLOOKUP(R28,Equipes!$A$4:$W$13,23,FALSE)</f>
        <v>0</v>
      </c>
      <c r="Y28" s="5">
        <f>Critérios!$E$18*(VLOOKUP(T28,Critérios!$E$3:$G$7,3,FALSE)+VLOOKUP(U28,Critérios!$E$3:$G$7,3,FALSE)+VLOOKUP(V28,Critérios!$E$3:$G$7,3,FALSE)+VLOOKUP(W28,Critérios!$E$3:$G$7,3,FALSE))/4+X28</f>
        <v>0</v>
      </c>
      <c r="Z28" s="5">
        <f t="shared" si="1"/>
        <v>1.7</v>
      </c>
    </row>
    <row r="29" spans="1:26" ht="15.75" customHeight="1">
      <c r="A29" s="5" t="s">
        <v>115</v>
      </c>
      <c r="B29" s="5" t="s">
        <v>74</v>
      </c>
      <c r="C29" s="5" t="s">
        <v>88</v>
      </c>
      <c r="D29" s="5">
        <v>1</v>
      </c>
      <c r="E29" s="5">
        <v>1</v>
      </c>
      <c r="F29" s="5">
        <v>1</v>
      </c>
      <c r="G29" s="5">
        <v>1</v>
      </c>
      <c r="H29" s="5">
        <f>VLOOKUP(B29,Equipes!$A$4:$W$13,9,FALSE)</f>
        <v>5.0999999999999996</v>
      </c>
      <c r="I29" s="5">
        <f>Critérios!$E$18*(VLOOKUP(D29,Critérios!$E$3:$G$7,3,FALSE)+VLOOKUP(E29,Critérios!$E$3:$G$7,3,FALSE)+VLOOKUP(F29,Critérios!$E$3:$G$7,3,FALSE)+VLOOKUP(G29,Critérios!$E$3:$G$7,3,FALSE))/4+H29</f>
        <v>5.0999999999999996</v>
      </c>
      <c r="J29" s="5" t="s">
        <v>70</v>
      </c>
      <c r="K29" s="5" t="s">
        <v>88</v>
      </c>
      <c r="L29" s="5">
        <v>1</v>
      </c>
      <c r="M29" s="5">
        <v>1</v>
      </c>
      <c r="N29" s="5">
        <v>1</v>
      </c>
      <c r="O29" s="5">
        <v>1</v>
      </c>
      <c r="P29" s="5">
        <f>VLOOKUP(J29,Equipes!$A$4:$W$13,16,FALSE)</f>
        <v>0</v>
      </c>
      <c r="Q29" s="5">
        <f>Critérios!$E$18*(VLOOKUP(L29,Critérios!$E$3:$G$7,3,FALSE)+VLOOKUP(M29,Critérios!$E$3:$G$7,3,FALSE)+VLOOKUP(N29,Critérios!$E$3:$G$7,3,FALSE)+VLOOKUP(O29,Critérios!$E$3:$G$7,3,FALSE))/4+P29</f>
        <v>0</v>
      </c>
      <c r="R29" s="5" t="s">
        <v>70</v>
      </c>
      <c r="S29" s="5" t="s">
        <v>88</v>
      </c>
      <c r="T29" s="5">
        <v>1</v>
      </c>
      <c r="U29" s="5">
        <v>1</v>
      </c>
      <c r="V29" s="5">
        <v>1</v>
      </c>
      <c r="W29" s="5">
        <v>1</v>
      </c>
      <c r="X29" s="5">
        <f>VLOOKUP(R29,Equipes!$A$4:$W$13,23,FALSE)</f>
        <v>0</v>
      </c>
      <c r="Y29" s="5">
        <f>Critérios!$E$18*(VLOOKUP(T29,Critérios!$E$3:$G$7,3,FALSE)+VLOOKUP(U29,Critérios!$E$3:$G$7,3,FALSE)+VLOOKUP(V29,Critérios!$E$3:$G$7,3,FALSE)+VLOOKUP(W29,Critérios!$E$3:$G$7,3,FALSE))/4+X29</f>
        <v>0</v>
      </c>
      <c r="Z29" s="5">
        <f t="shared" si="1"/>
        <v>1.7</v>
      </c>
    </row>
    <row r="30" spans="1:26" ht="15.75" customHeight="1">
      <c r="A30" s="5" t="s">
        <v>116</v>
      </c>
      <c r="B30" s="5" t="s">
        <v>76</v>
      </c>
      <c r="C30" s="5" t="s">
        <v>88</v>
      </c>
      <c r="D30" s="5">
        <v>1</v>
      </c>
      <c r="E30" s="5">
        <v>1</v>
      </c>
      <c r="F30" s="5">
        <v>1</v>
      </c>
      <c r="G30" s="5">
        <v>1</v>
      </c>
      <c r="H30" s="5">
        <f>VLOOKUP(B30,Equipes!$A$4:$W$13,9,FALSE)</f>
        <v>0</v>
      </c>
      <c r="I30" s="5">
        <f>Critérios!$E$18*(VLOOKUP(D30,Critérios!$E$3:$G$7,3,FALSE)+VLOOKUP(E30,Critérios!$E$3:$G$7,3,FALSE)+VLOOKUP(F30,Critérios!$E$3:$G$7,3,FALSE)+VLOOKUP(G30,Critérios!$E$3:$G$7,3,FALSE))/4+H30</f>
        <v>0</v>
      </c>
      <c r="J30" s="5" t="s">
        <v>70</v>
      </c>
      <c r="K30" s="5" t="s">
        <v>88</v>
      </c>
      <c r="L30" s="5">
        <v>1</v>
      </c>
      <c r="M30" s="5">
        <v>1</v>
      </c>
      <c r="N30" s="5">
        <v>1</v>
      </c>
      <c r="O30" s="5">
        <v>1</v>
      </c>
      <c r="P30" s="5">
        <f>VLOOKUP(J30,Equipes!$A$4:$W$13,16,FALSE)</f>
        <v>0</v>
      </c>
      <c r="Q30" s="5">
        <f>Critérios!$E$18*(VLOOKUP(L30,Critérios!$E$3:$G$7,3,FALSE)+VLOOKUP(M30,Critérios!$E$3:$G$7,3,FALSE)+VLOOKUP(N30,Critérios!$E$3:$G$7,3,FALSE)+VLOOKUP(O30,Critérios!$E$3:$G$7,3,FALSE))/4+P30</f>
        <v>0</v>
      </c>
      <c r="R30" s="5" t="s">
        <v>70</v>
      </c>
      <c r="S30" s="5" t="s">
        <v>88</v>
      </c>
      <c r="T30" s="5">
        <v>1</v>
      </c>
      <c r="U30" s="5">
        <v>1</v>
      </c>
      <c r="V30" s="5">
        <v>1</v>
      </c>
      <c r="W30" s="5">
        <v>1</v>
      </c>
      <c r="X30" s="5">
        <f>VLOOKUP(R30,Equipes!$A$4:$W$13,23,FALSE)</f>
        <v>0</v>
      </c>
      <c r="Y30" s="5">
        <f>Critérios!$E$18*(VLOOKUP(T30,Critérios!$E$3:$G$7,3,FALSE)+VLOOKUP(U30,Critérios!$E$3:$G$7,3,FALSE)+VLOOKUP(V30,Critérios!$E$3:$G$7,3,FALSE)+VLOOKUP(W30,Critérios!$E$3:$G$7,3,FALSE))/4+X30</f>
        <v>0</v>
      </c>
      <c r="Z30" s="5">
        <f t="shared" si="1"/>
        <v>0</v>
      </c>
    </row>
    <row r="31" spans="1:26" ht="15.75" customHeight="1">
      <c r="A31" s="5" t="s">
        <v>117</v>
      </c>
      <c r="B31" s="5" t="s">
        <v>76</v>
      </c>
      <c r="C31" s="5" t="s">
        <v>88</v>
      </c>
      <c r="D31" s="5">
        <v>1</v>
      </c>
      <c r="E31" s="5">
        <v>1</v>
      </c>
      <c r="F31" s="5">
        <v>1</v>
      </c>
      <c r="G31" s="5">
        <v>1</v>
      </c>
      <c r="H31" s="5">
        <f>VLOOKUP(B31,Equipes!$A$4:$W$13,9,FALSE)</f>
        <v>0</v>
      </c>
      <c r="I31" s="5">
        <f>Critérios!$E$18*(VLOOKUP(D31,Critérios!$E$3:$G$7,3,FALSE)+VLOOKUP(E31,Critérios!$E$3:$G$7,3,FALSE)+VLOOKUP(F31,Critérios!$E$3:$G$7,3,FALSE)+VLOOKUP(G31,Critérios!$E$3:$G$7,3,FALSE))/4+H31</f>
        <v>0</v>
      </c>
      <c r="J31" s="5" t="s">
        <v>70</v>
      </c>
      <c r="K31" s="5" t="s">
        <v>88</v>
      </c>
      <c r="L31" s="5">
        <v>1</v>
      </c>
      <c r="M31" s="5">
        <v>1</v>
      </c>
      <c r="N31" s="5">
        <v>1</v>
      </c>
      <c r="O31" s="5">
        <v>1</v>
      </c>
      <c r="P31" s="5">
        <f>VLOOKUP(J31,Equipes!$A$4:$W$13,16,FALSE)</f>
        <v>0</v>
      </c>
      <c r="Q31" s="5">
        <f>Critérios!$E$18*(VLOOKUP(L31,Critérios!$E$3:$G$7,3,FALSE)+VLOOKUP(M31,Critérios!$E$3:$G$7,3,FALSE)+VLOOKUP(N31,Critérios!$E$3:$G$7,3,FALSE)+VLOOKUP(O31,Critérios!$E$3:$G$7,3,FALSE))/4+P31</f>
        <v>0</v>
      </c>
      <c r="R31" s="5" t="s">
        <v>70</v>
      </c>
      <c r="S31" s="5" t="s">
        <v>88</v>
      </c>
      <c r="T31" s="5">
        <v>1</v>
      </c>
      <c r="U31" s="5">
        <v>1</v>
      </c>
      <c r="V31" s="5">
        <v>1</v>
      </c>
      <c r="W31" s="5">
        <v>1</v>
      </c>
      <c r="X31" s="5">
        <f>VLOOKUP(R31,Equipes!$A$4:$W$13,23,FALSE)</f>
        <v>0</v>
      </c>
      <c r="Y31" s="5">
        <f>Critérios!$E$18*(VLOOKUP(T31,Critérios!$E$3:$G$7,3,FALSE)+VLOOKUP(U31,Critérios!$E$3:$G$7,3,FALSE)+VLOOKUP(V31,Critérios!$E$3:$G$7,3,FALSE)+VLOOKUP(W31,Critérios!$E$3:$G$7,3,FALSE))/4+X31</f>
        <v>0</v>
      </c>
      <c r="Z31" s="5">
        <f t="shared" si="1"/>
        <v>0</v>
      </c>
    </row>
    <row r="32" spans="1:26" ht="15.75" customHeight="1">
      <c r="A32" s="5" t="s">
        <v>118</v>
      </c>
      <c r="B32" s="5" t="s">
        <v>76</v>
      </c>
      <c r="C32" s="5" t="s">
        <v>88</v>
      </c>
      <c r="D32" s="5">
        <v>1</v>
      </c>
      <c r="E32" s="5">
        <v>1</v>
      </c>
      <c r="F32" s="5">
        <v>1</v>
      </c>
      <c r="G32" s="5">
        <v>1</v>
      </c>
      <c r="H32" s="5">
        <f>VLOOKUP(B32,Equipes!$A$4:$W$13,9,FALSE)</f>
        <v>0</v>
      </c>
      <c r="I32" s="5">
        <f>Critérios!$E$18*(VLOOKUP(D32,Critérios!$E$3:$G$7,3,FALSE)+VLOOKUP(E32,Critérios!$E$3:$G$7,3,FALSE)+VLOOKUP(F32,Critérios!$E$3:$G$7,3,FALSE)+VLOOKUP(G32,Critérios!$E$3:$G$7,3,FALSE))/4+H32</f>
        <v>0</v>
      </c>
      <c r="J32" s="5" t="s">
        <v>70</v>
      </c>
      <c r="K32" s="5" t="s">
        <v>88</v>
      </c>
      <c r="L32" s="5">
        <v>1</v>
      </c>
      <c r="M32" s="5">
        <v>1</v>
      </c>
      <c r="N32" s="5">
        <v>1</v>
      </c>
      <c r="O32" s="5">
        <v>1</v>
      </c>
      <c r="P32" s="5">
        <f>VLOOKUP(J32,Equipes!$A$4:$W$13,16,FALSE)</f>
        <v>0</v>
      </c>
      <c r="Q32" s="5">
        <f>Critérios!$E$18*(VLOOKUP(L32,Critérios!$E$3:$G$7,3,FALSE)+VLOOKUP(M32,Critérios!$E$3:$G$7,3,FALSE)+VLOOKUP(N32,Critérios!$E$3:$G$7,3,FALSE)+VLOOKUP(O32,Critérios!$E$3:$G$7,3,FALSE))/4+P32</f>
        <v>0</v>
      </c>
      <c r="R32" s="5" t="s">
        <v>70</v>
      </c>
      <c r="S32" s="5" t="s">
        <v>88</v>
      </c>
      <c r="T32" s="5">
        <v>1</v>
      </c>
      <c r="U32" s="5">
        <v>1</v>
      </c>
      <c r="V32" s="5">
        <v>1</v>
      </c>
      <c r="W32" s="5">
        <v>1</v>
      </c>
      <c r="X32" s="5">
        <f>VLOOKUP(R32,Equipes!$A$4:$W$13,23,FALSE)</f>
        <v>0</v>
      </c>
      <c r="Y32" s="5">
        <f>Critérios!$E$18*(VLOOKUP(T32,Critérios!$E$3:$G$7,3,FALSE)+VLOOKUP(U32,Critérios!$E$3:$G$7,3,FALSE)+VLOOKUP(V32,Critérios!$E$3:$G$7,3,FALSE)+VLOOKUP(W32,Critérios!$E$3:$G$7,3,FALSE))/4+X32</f>
        <v>0</v>
      </c>
      <c r="Z32" s="5">
        <f t="shared" si="1"/>
        <v>0</v>
      </c>
    </row>
    <row r="33" spans="1:26" ht="15.75" customHeight="1">
      <c r="A33" s="5" t="s">
        <v>119</v>
      </c>
      <c r="B33" s="5" t="s">
        <v>76</v>
      </c>
      <c r="C33" s="5" t="s">
        <v>88</v>
      </c>
      <c r="D33" s="5">
        <v>1</v>
      </c>
      <c r="E33" s="5">
        <v>1</v>
      </c>
      <c r="F33" s="5">
        <v>1</v>
      </c>
      <c r="G33" s="5">
        <v>1</v>
      </c>
      <c r="H33" s="5">
        <f>VLOOKUP(B33,Equipes!$A$4:$W$13,9,FALSE)</f>
        <v>0</v>
      </c>
      <c r="I33" s="5">
        <f>Critérios!$E$18*(VLOOKUP(D33,Critérios!$E$3:$G$7,3,FALSE)+VLOOKUP(E33,Critérios!$E$3:$G$7,3,FALSE)+VLOOKUP(F33,Critérios!$E$3:$G$7,3,FALSE)+VLOOKUP(G33,Critérios!$E$3:$G$7,3,FALSE))/4+H33</f>
        <v>0</v>
      </c>
      <c r="J33" s="5" t="s">
        <v>70</v>
      </c>
      <c r="K33" s="5" t="s">
        <v>88</v>
      </c>
      <c r="L33" s="5">
        <v>1</v>
      </c>
      <c r="M33" s="5">
        <v>1</v>
      </c>
      <c r="N33" s="5">
        <v>1</v>
      </c>
      <c r="O33" s="5">
        <v>1</v>
      </c>
      <c r="P33" s="5">
        <f>VLOOKUP(J33,Equipes!$A$4:$W$13,16,FALSE)</f>
        <v>0</v>
      </c>
      <c r="Q33" s="5">
        <f>Critérios!$E$18*(VLOOKUP(L33,Critérios!$E$3:$G$7,3,FALSE)+VLOOKUP(M33,Critérios!$E$3:$G$7,3,FALSE)+VLOOKUP(N33,Critérios!$E$3:$G$7,3,FALSE)+VLOOKUP(O33,Critérios!$E$3:$G$7,3,FALSE))/4+P33</f>
        <v>0</v>
      </c>
      <c r="R33" s="5" t="s">
        <v>70</v>
      </c>
      <c r="S33" s="5" t="s">
        <v>88</v>
      </c>
      <c r="T33" s="5">
        <v>1</v>
      </c>
      <c r="U33" s="5">
        <v>1</v>
      </c>
      <c r="V33" s="5">
        <v>1</v>
      </c>
      <c r="W33" s="5">
        <v>1</v>
      </c>
      <c r="X33" s="5">
        <f>VLOOKUP(R33,Equipes!$A$4:$W$13,23,FALSE)</f>
        <v>0</v>
      </c>
      <c r="Y33" s="5">
        <f>Critérios!$E$18*(VLOOKUP(T33,Critérios!$E$3:$G$7,3,FALSE)+VLOOKUP(U33,Critérios!$E$3:$G$7,3,FALSE)+VLOOKUP(V33,Critérios!$E$3:$G$7,3,FALSE)+VLOOKUP(W33,Critérios!$E$3:$G$7,3,FALSE))/4+X33</f>
        <v>0</v>
      </c>
      <c r="Z33" s="5">
        <f t="shared" si="1"/>
        <v>0</v>
      </c>
    </row>
    <row r="34" spans="1:26" ht="15.75" customHeight="1">
      <c r="A34" s="5" t="s">
        <v>120</v>
      </c>
      <c r="B34" s="5" t="s">
        <v>76</v>
      </c>
      <c r="C34" s="5" t="s">
        <v>88</v>
      </c>
      <c r="D34" s="5">
        <v>1</v>
      </c>
      <c r="E34" s="5">
        <v>1</v>
      </c>
      <c r="F34" s="5">
        <v>1</v>
      </c>
      <c r="G34" s="5">
        <v>1</v>
      </c>
      <c r="H34" s="5">
        <f>VLOOKUP(B34,Equipes!$A$4:$W$13,9,FALSE)</f>
        <v>0</v>
      </c>
      <c r="I34" s="5">
        <f>Critérios!$E$18*(VLOOKUP(D34,Critérios!$E$3:$G$7,3,FALSE)+VLOOKUP(E34,Critérios!$E$3:$G$7,3,FALSE)+VLOOKUP(F34,Critérios!$E$3:$G$7,3,FALSE)+VLOOKUP(G34,Critérios!$E$3:$G$7,3,FALSE))/4+H34</f>
        <v>0</v>
      </c>
      <c r="J34" s="5" t="s">
        <v>70</v>
      </c>
      <c r="K34" s="5" t="s">
        <v>88</v>
      </c>
      <c r="L34" s="5">
        <v>1</v>
      </c>
      <c r="M34" s="5">
        <v>1</v>
      </c>
      <c r="N34" s="5">
        <v>1</v>
      </c>
      <c r="O34" s="5">
        <v>1</v>
      </c>
      <c r="P34" s="5">
        <f>VLOOKUP(J34,Equipes!$A$4:$W$13,16,FALSE)</f>
        <v>0</v>
      </c>
      <c r="Q34" s="5">
        <f>Critérios!$E$18*(VLOOKUP(L34,Critérios!$E$3:$G$7,3,FALSE)+VLOOKUP(M34,Critérios!$E$3:$G$7,3,FALSE)+VLOOKUP(N34,Critérios!$E$3:$G$7,3,FALSE)+VLOOKUP(O34,Critérios!$E$3:$G$7,3,FALSE))/4+P34</f>
        <v>0</v>
      </c>
      <c r="R34" s="5" t="s">
        <v>70</v>
      </c>
      <c r="S34" s="5" t="s">
        <v>88</v>
      </c>
      <c r="T34" s="5">
        <v>1</v>
      </c>
      <c r="U34" s="5">
        <v>1</v>
      </c>
      <c r="V34" s="5">
        <v>1</v>
      </c>
      <c r="W34" s="5">
        <v>1</v>
      </c>
      <c r="X34" s="5">
        <f>VLOOKUP(R34,Equipes!$A$4:$W$13,23,FALSE)</f>
        <v>0</v>
      </c>
      <c r="Y34" s="5">
        <f>Critérios!$E$18*(VLOOKUP(T34,Critérios!$E$3:$G$7,3,FALSE)+VLOOKUP(U34,Critérios!$E$3:$G$7,3,FALSE)+VLOOKUP(V34,Critérios!$E$3:$G$7,3,FALSE)+VLOOKUP(W34,Critérios!$E$3:$G$7,3,FALSE))/4+X34</f>
        <v>0</v>
      </c>
      <c r="Z34" s="5">
        <f t="shared" si="1"/>
        <v>0</v>
      </c>
    </row>
    <row r="35" spans="1:26" ht="15.75" customHeight="1">
      <c r="A35" s="5" t="s">
        <v>121</v>
      </c>
      <c r="B35" s="5" t="s">
        <v>76</v>
      </c>
      <c r="C35" s="5" t="s">
        <v>88</v>
      </c>
      <c r="D35" s="5">
        <v>1</v>
      </c>
      <c r="E35" s="5">
        <v>1</v>
      </c>
      <c r="F35" s="5">
        <v>1</v>
      </c>
      <c r="G35" s="5">
        <v>1</v>
      </c>
      <c r="H35" s="5">
        <f>VLOOKUP(B35,Equipes!$A$4:$W$13,9,FALSE)</f>
        <v>0</v>
      </c>
      <c r="I35" s="5">
        <f>Critérios!$E$18*(VLOOKUP(D35,Critérios!$E$3:$G$7,3,FALSE)+VLOOKUP(E35,Critérios!$E$3:$G$7,3,FALSE)+VLOOKUP(F35,Critérios!$E$3:$G$7,3,FALSE)+VLOOKUP(G35,Critérios!$E$3:$G$7,3,FALSE))/4+H35</f>
        <v>0</v>
      </c>
      <c r="J35" s="5" t="s">
        <v>70</v>
      </c>
      <c r="K35" s="5" t="s">
        <v>88</v>
      </c>
      <c r="L35" s="5">
        <v>1</v>
      </c>
      <c r="M35" s="5">
        <v>1</v>
      </c>
      <c r="N35" s="5">
        <v>1</v>
      </c>
      <c r="O35" s="5">
        <v>1</v>
      </c>
      <c r="P35" s="5">
        <f>VLOOKUP(J35,Equipes!$A$4:$W$13,16,FALSE)</f>
        <v>0</v>
      </c>
      <c r="Q35" s="5">
        <f>Critérios!$E$18*(VLOOKUP(L35,Critérios!$E$3:$G$7,3,FALSE)+VLOOKUP(M35,Critérios!$E$3:$G$7,3,FALSE)+VLOOKUP(N35,Critérios!$E$3:$G$7,3,FALSE)+VLOOKUP(O35,Critérios!$E$3:$G$7,3,FALSE))/4+P35</f>
        <v>0</v>
      </c>
      <c r="R35" s="5" t="s">
        <v>70</v>
      </c>
      <c r="S35" s="5" t="s">
        <v>88</v>
      </c>
      <c r="T35" s="5">
        <v>1</v>
      </c>
      <c r="U35" s="5">
        <v>1</v>
      </c>
      <c r="V35" s="5">
        <v>1</v>
      </c>
      <c r="W35" s="5">
        <v>1</v>
      </c>
      <c r="X35" s="5">
        <f>VLOOKUP(R35,Equipes!$A$4:$W$13,23,FALSE)</f>
        <v>0</v>
      </c>
      <c r="Y35" s="5">
        <f>Critérios!$E$18*(VLOOKUP(T35,Critérios!$E$3:$G$7,3,FALSE)+VLOOKUP(U35,Critérios!$E$3:$G$7,3,FALSE)+VLOOKUP(V35,Critérios!$E$3:$G$7,3,FALSE)+VLOOKUP(W35,Critérios!$E$3:$G$7,3,FALSE))/4+X35</f>
        <v>0</v>
      </c>
      <c r="Z35" s="5">
        <f t="shared" si="1"/>
        <v>0</v>
      </c>
    </row>
    <row r="36" spans="1:26" ht="15.75" customHeight="1">
      <c r="A36" s="5" t="s">
        <v>122</v>
      </c>
      <c r="B36" s="5" t="s">
        <v>76</v>
      </c>
      <c r="C36" s="5" t="s">
        <v>88</v>
      </c>
      <c r="D36" s="5">
        <v>1</v>
      </c>
      <c r="E36" s="5">
        <v>1</v>
      </c>
      <c r="F36" s="5">
        <v>1</v>
      </c>
      <c r="G36" s="5">
        <v>1</v>
      </c>
      <c r="H36" s="5">
        <f>VLOOKUP(B36,Equipes!$A$4:$W$13,9,FALSE)</f>
        <v>0</v>
      </c>
      <c r="I36" s="5">
        <f>Critérios!$E$18*(VLOOKUP(D36,Critérios!$E$3:$G$7,3,FALSE)+VLOOKUP(E36,Critérios!$E$3:$G$7,3,FALSE)+VLOOKUP(F36,Critérios!$E$3:$G$7,3,FALSE)+VLOOKUP(G36,Critérios!$E$3:$G$7,3,FALSE))/4+H36</f>
        <v>0</v>
      </c>
      <c r="J36" s="5" t="s">
        <v>70</v>
      </c>
      <c r="K36" s="5" t="s">
        <v>88</v>
      </c>
      <c r="L36" s="5">
        <v>1</v>
      </c>
      <c r="M36" s="5">
        <v>1</v>
      </c>
      <c r="N36" s="5">
        <v>1</v>
      </c>
      <c r="O36" s="5">
        <v>1</v>
      </c>
      <c r="P36" s="5">
        <f>VLOOKUP(J36,Equipes!$A$4:$W$13,16,FALSE)</f>
        <v>0</v>
      </c>
      <c r="Q36" s="5">
        <f>Critérios!$E$18*(VLOOKUP(L36,Critérios!$E$3:$G$7,3,FALSE)+VLOOKUP(M36,Critérios!$E$3:$G$7,3,FALSE)+VLOOKUP(N36,Critérios!$E$3:$G$7,3,FALSE)+VLOOKUP(O36,Critérios!$E$3:$G$7,3,FALSE))/4+P36</f>
        <v>0</v>
      </c>
      <c r="R36" s="5" t="s">
        <v>70</v>
      </c>
      <c r="S36" s="5" t="s">
        <v>88</v>
      </c>
      <c r="T36" s="5">
        <v>1</v>
      </c>
      <c r="U36" s="5">
        <v>1</v>
      </c>
      <c r="V36" s="5">
        <v>1</v>
      </c>
      <c r="W36" s="5">
        <v>1</v>
      </c>
      <c r="X36" s="5">
        <f>VLOOKUP(R36,Equipes!$A$4:$W$13,23,FALSE)</f>
        <v>0</v>
      </c>
      <c r="Y36" s="5">
        <f>Critérios!$E$18*(VLOOKUP(T36,Critérios!$E$3:$G$7,3,FALSE)+VLOOKUP(U36,Critérios!$E$3:$G$7,3,FALSE)+VLOOKUP(V36,Critérios!$E$3:$G$7,3,FALSE)+VLOOKUP(W36,Critérios!$E$3:$G$7,3,FALSE))/4+X36</f>
        <v>0</v>
      </c>
      <c r="Z36" s="5">
        <f t="shared" si="1"/>
        <v>0</v>
      </c>
    </row>
    <row r="37" spans="1:26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/>
    <row r="54" spans="1:26" ht="15.75" customHeight="1"/>
    <row r="55" spans="1:26" ht="15.75" customHeight="1"/>
    <row r="56" spans="1:26" ht="15.75" customHeight="1"/>
    <row r="57" spans="1:26" ht="15.75" customHeight="1"/>
    <row r="58" spans="1:26" ht="15.75" customHeight="1"/>
    <row r="59" spans="1:26" ht="15.75" customHeight="1"/>
    <row r="60" spans="1:26" ht="15.75" customHeight="1"/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2:Z52" xr:uid="{00000000-0001-0000-0000-000000000000}"/>
  <mergeCells count="3">
    <mergeCell ref="B1:I1"/>
    <mergeCell ref="J1:Q1"/>
    <mergeCell ref="R1:Y1"/>
  </mergeCells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Configuração!$A$2:$A$4</xm:f>
          </x14:formula1>
          <xm:sqref>K3:K52 S3:S52 C3:C52</xm:sqref>
        </x14:dataValidation>
        <x14:dataValidation type="list" allowBlank="1" showErrorMessage="1" xr:uid="{00000000-0002-0000-0000-000001000000}">
          <x14:formula1>
            <xm:f>Equipes!$A$4:$A$13</xm:f>
          </x14:formula1>
          <xm:sqref>J3:J52 R3:R52 B3:B52</xm:sqref>
        </x14:dataValidation>
        <x14:dataValidation type="list" allowBlank="1" showInputMessage="1" showErrorMessage="1" xr:uid="{AF0F2CAD-8D89-4BB7-9F1F-4CAD20808E7C}">
          <x14:formula1>
            <xm:f>Critérios!$E$3:$E$6</xm:f>
          </x14:formula1>
          <xm:sqref>L3:O52 T3:W52 D3:G52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workbookViewId="0">
      <selection activeCell="A3" sqref="A3"/>
    </sheetView>
  </sheetViews>
  <sheetFormatPr defaultColWidth="14.42578125" defaultRowHeight="15" customHeight="1"/>
  <cols>
    <col min="1" max="11" width="8.7109375" customWidth="1"/>
  </cols>
  <sheetData>
    <row r="1" spans="1:1">
      <c r="A1" s="4" t="s">
        <v>123</v>
      </c>
    </row>
    <row r="2" spans="1:1">
      <c r="A2" s="6" t="s">
        <v>88</v>
      </c>
    </row>
    <row r="3" spans="1:1">
      <c r="A3" s="6" t="s">
        <v>90</v>
      </c>
    </row>
    <row r="4" spans="1:1">
      <c r="A4" s="68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3" ma:contentTypeDescription="Crie um novo documento." ma:contentTypeScope="" ma:versionID="55c00b79b930c19bbba63f64ceacd94d">
  <xsd:schema xmlns:xsd="http://www.w3.org/2001/XMLSchema" xmlns:xs="http://www.w3.org/2001/XMLSchema" xmlns:p="http://schemas.microsoft.com/office/2006/metadata/properties" xmlns:ns2="cab57bc6-0aad-4c80-a30f-bbd4ef7a8f38" targetNamespace="http://schemas.microsoft.com/office/2006/metadata/properties" ma:root="true" ma:fieldsID="0ca30da6510018c6833e26b8e307e38d" ns2:_="">
    <xsd:import namespace="cab57bc6-0aad-4c80-a30f-bbd4ef7a8f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7BD20-113E-40F0-8C76-04598273FCF6}"/>
</file>

<file path=customXml/itemProps2.xml><?xml version="1.0" encoding="utf-8"?>
<ds:datastoreItem xmlns:ds="http://schemas.openxmlformats.org/officeDocument/2006/customXml" ds:itemID="{182DF9B2-39E5-4F65-A3CB-DC85E1E87199}"/>
</file>

<file path=customXml/itemProps3.xml><?xml version="1.0" encoding="utf-8"?>
<ds:datastoreItem xmlns:ds="http://schemas.openxmlformats.org/officeDocument/2006/customXml" ds:itemID="{DEBB8EDD-DE28-45F3-9F2F-1930FA240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 Mineda Carneiro</dc:creator>
  <cp:keywords/>
  <dc:description/>
  <cp:lastModifiedBy/>
  <cp:revision/>
  <dcterms:created xsi:type="dcterms:W3CDTF">2024-12-11T02:51:42Z</dcterms:created>
  <dcterms:modified xsi:type="dcterms:W3CDTF">2025-11-03T18:01:51Z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</Properties>
</file>